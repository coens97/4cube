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3820"/>
  <mc:AlternateContent xmlns:mc="http://schemas.openxmlformats.org/markup-compatibility/2006">
    <mc:Choice Requires="x15">
      <x15ac:absPath xmlns:x15ac="http://schemas.microsoft.com/office/spreadsheetml/2010/11/ac" url="E:\ICT class\year2\ProCP\4cube\Progress\"/>
    </mc:Choice>
  </mc:AlternateContent>
  <bookViews>
    <workbookView xWindow="750" yWindow="1200" windowWidth="14640" windowHeight="6230" tabRatio="620"/>
  </bookViews>
  <sheets>
    <sheet name="Sprint" sheetId="7" r:id="rId1"/>
    <sheet name="Analysis" sheetId="8" r:id="rId2"/>
    <sheet name="Team Roster" sheetId="5" r:id="rId3"/>
    <sheet name="Capacity" sheetId="6" r:id="rId4"/>
  </sheets>
  <externalReferences>
    <externalReference r:id="rId5"/>
  </externalReferences>
  <definedNames>
    <definedName name="_xlnm._FilterDatabase" localSheetId="0" hidden="1">Sprint!$A$3:$EA$59</definedName>
    <definedName name="Burndown" localSheetId="1">Sprint!$J$4:$DZ$60</definedName>
    <definedName name="Burndown">Sprint!$J$4:$DZ$60</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'[1]Project Specific Reports'!$A$9:$A$24</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3">Capacity!$A$4:$AP$33</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Sprint!$J$1:$DZ$1</definedName>
    <definedName name="SprintDates">Sprint!$J$1:$DZ$1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Sprint!$EA$4:$EA$60</definedName>
    <definedName name="TotalEffort">Sprint!$EA$4:$EA$60</definedName>
    <definedName name="Worktype">'[1]Project Specific Reports'!$A$2:$A$5</definedName>
  </definedNames>
  <calcPr calcId="162913"/>
</workbook>
</file>

<file path=xl/calcChain.xml><?xml version="1.0" encoding="utf-8"?>
<calcChain xmlns="http://schemas.openxmlformats.org/spreadsheetml/2006/main">
  <c r="G39" i="7" l="1"/>
  <c r="G40" i="7"/>
  <c r="G42" i="7"/>
  <c r="G43" i="7"/>
  <c r="G44" i="7"/>
  <c r="G45" i="7"/>
  <c r="G46" i="7"/>
  <c r="G47" i="7"/>
  <c r="G48" i="7"/>
  <c r="G49" i="7"/>
  <c r="G50" i="7"/>
  <c r="G51" i="7"/>
  <c r="G52" i="7"/>
  <c r="G53" i="7"/>
  <c r="G54" i="7"/>
  <c r="G55" i="7"/>
  <c r="G56" i="7"/>
  <c r="G57" i="7"/>
  <c r="G58" i="7"/>
  <c r="G59" i="7"/>
  <c r="K52" i="7" l="1"/>
  <c r="N52" i="7" s="1"/>
  <c r="Q52" i="7" s="1"/>
  <c r="T52" i="7" s="1"/>
  <c r="W52" i="7" s="1"/>
  <c r="Z52" i="7" s="1"/>
  <c r="AC52" i="7" s="1"/>
  <c r="AF52" i="7" s="1"/>
  <c r="AI52" i="7" s="1"/>
  <c r="AL52" i="7" s="1"/>
  <c r="AO52" i="7" s="1"/>
  <c r="AR52" i="7" s="1"/>
  <c r="AU52" i="7" s="1"/>
  <c r="AX52" i="7" s="1"/>
  <c r="BA52" i="7" s="1"/>
  <c r="BD52" i="7" s="1"/>
  <c r="BG52" i="7" s="1"/>
  <c r="BJ52" i="7" s="1"/>
  <c r="BM52" i="7" s="1"/>
  <c r="BP52" i="7" s="1"/>
  <c r="BS52" i="7" s="1"/>
  <c r="BV52" i="7" s="1"/>
  <c r="BY52" i="7" s="1"/>
  <c r="CB52" i="7" s="1"/>
  <c r="CE52" i="7" s="1"/>
  <c r="CH52" i="7" s="1"/>
  <c r="CK52" i="7" s="1"/>
  <c r="CN52" i="7" s="1"/>
  <c r="CQ52" i="7" s="1"/>
  <c r="CT52" i="7" s="1"/>
  <c r="CW52" i="7" s="1"/>
  <c r="CZ52" i="7" s="1"/>
  <c r="DC52" i="7" s="1"/>
  <c r="DF52" i="7" s="1"/>
  <c r="DI52" i="7" s="1"/>
  <c r="DL52" i="7" s="1"/>
  <c r="DO52" i="7" s="1"/>
  <c r="DR52" i="7" s="1"/>
  <c r="DU52" i="7" s="1"/>
  <c r="DX52" i="7" s="1"/>
  <c r="K43" i="7"/>
  <c r="N43" i="7" s="1"/>
  <c r="Q43" i="7" s="1"/>
  <c r="T43" i="7" s="1"/>
  <c r="W43" i="7" s="1"/>
  <c r="Z43" i="7" s="1"/>
  <c r="AC43" i="7" s="1"/>
  <c r="AF43" i="7" s="1"/>
  <c r="AI43" i="7" s="1"/>
  <c r="AL43" i="7" s="1"/>
  <c r="AO43" i="7" s="1"/>
  <c r="AR43" i="7" s="1"/>
  <c r="AU43" i="7" s="1"/>
  <c r="AX43" i="7" s="1"/>
  <c r="BA43" i="7" s="1"/>
  <c r="BD43" i="7" s="1"/>
  <c r="BG43" i="7" s="1"/>
  <c r="BJ43" i="7" s="1"/>
  <c r="BM43" i="7" s="1"/>
  <c r="BP43" i="7" s="1"/>
  <c r="BS43" i="7" s="1"/>
  <c r="BV43" i="7" s="1"/>
  <c r="BY43" i="7" s="1"/>
  <c r="CB43" i="7" s="1"/>
  <c r="CE43" i="7" s="1"/>
  <c r="CH43" i="7" s="1"/>
  <c r="CK43" i="7" s="1"/>
  <c r="CN43" i="7" s="1"/>
  <c r="CQ43" i="7" s="1"/>
  <c r="CT43" i="7" s="1"/>
  <c r="CW43" i="7" s="1"/>
  <c r="CZ43" i="7" s="1"/>
  <c r="DC43" i="7" s="1"/>
  <c r="DF43" i="7" s="1"/>
  <c r="DI43" i="7" s="1"/>
  <c r="DL43" i="7" s="1"/>
  <c r="DO43" i="7" s="1"/>
  <c r="DR43" i="7" s="1"/>
  <c r="DU43" i="7" s="1"/>
  <c r="DX43" i="7" s="1"/>
  <c r="K22" i="7"/>
  <c r="N22" i="7" s="1"/>
  <c r="Q22" i="7" s="1"/>
  <c r="T22" i="7" s="1"/>
  <c r="W22" i="7" s="1"/>
  <c r="Z22" i="7" s="1"/>
  <c r="AC22" i="7" s="1"/>
  <c r="AF22" i="7" s="1"/>
  <c r="AI22" i="7" s="1"/>
  <c r="AL22" i="7" s="1"/>
  <c r="AO22" i="7" s="1"/>
  <c r="AR22" i="7" s="1"/>
  <c r="AU22" i="7" s="1"/>
  <c r="AX22" i="7" s="1"/>
  <c r="BA22" i="7" s="1"/>
  <c r="BD22" i="7" s="1"/>
  <c r="BG22" i="7" s="1"/>
  <c r="BJ22" i="7" s="1"/>
  <c r="BM22" i="7" s="1"/>
  <c r="BP22" i="7" s="1"/>
  <c r="BS22" i="7" s="1"/>
  <c r="BV22" i="7" s="1"/>
  <c r="BY22" i="7" s="1"/>
  <c r="CB22" i="7" s="1"/>
  <c r="CE22" i="7" s="1"/>
  <c r="CH22" i="7" s="1"/>
  <c r="CK22" i="7" s="1"/>
  <c r="CN22" i="7" s="1"/>
  <c r="CQ22" i="7" s="1"/>
  <c r="CT22" i="7" s="1"/>
  <c r="CW22" i="7" s="1"/>
  <c r="CZ22" i="7" s="1"/>
  <c r="DC22" i="7" s="1"/>
  <c r="DF22" i="7" s="1"/>
  <c r="DI22" i="7" s="1"/>
  <c r="DL22" i="7" s="1"/>
  <c r="DO22" i="7" s="1"/>
  <c r="DR22" i="7" s="1"/>
  <c r="DU22" i="7" s="1"/>
  <c r="DX22" i="7" s="1"/>
  <c r="L26" i="7"/>
  <c r="K26" i="7"/>
  <c r="L40" i="7"/>
  <c r="K40" i="7"/>
  <c r="N32" i="7"/>
  <c r="Q32" i="7" s="1"/>
  <c r="T32" i="7" s="1"/>
  <c r="W32" i="7" s="1"/>
  <c r="Z32" i="7" s="1"/>
  <c r="AC32" i="7" s="1"/>
  <c r="AF32" i="7" s="1"/>
  <c r="AI32" i="7" s="1"/>
  <c r="AL32" i="7" s="1"/>
  <c r="AO32" i="7" s="1"/>
  <c r="AR32" i="7" s="1"/>
  <c r="AU32" i="7" s="1"/>
  <c r="AX32" i="7" s="1"/>
  <c r="BA32" i="7" s="1"/>
  <c r="BD32" i="7" s="1"/>
  <c r="BG32" i="7" s="1"/>
  <c r="BJ32" i="7" s="1"/>
  <c r="BM32" i="7" s="1"/>
  <c r="BP32" i="7" s="1"/>
  <c r="BS32" i="7" s="1"/>
  <c r="BV32" i="7" s="1"/>
  <c r="BY32" i="7" s="1"/>
  <c r="CB32" i="7" s="1"/>
  <c r="CE32" i="7" s="1"/>
  <c r="CH32" i="7" s="1"/>
  <c r="CK32" i="7" s="1"/>
  <c r="CN32" i="7" s="1"/>
  <c r="CQ32" i="7" s="1"/>
  <c r="CT32" i="7" s="1"/>
  <c r="CW32" i="7" s="1"/>
  <c r="CZ32" i="7" s="1"/>
  <c r="DC32" i="7" s="1"/>
  <c r="DF32" i="7" s="1"/>
  <c r="DI32" i="7" s="1"/>
  <c r="DL32" i="7" s="1"/>
  <c r="DO32" i="7" s="1"/>
  <c r="DR32" i="7" s="1"/>
  <c r="DU32" i="7" s="1"/>
  <c r="DX32" i="7" s="1"/>
  <c r="K32" i="7"/>
  <c r="L32" i="7" s="1"/>
  <c r="K39" i="7"/>
  <c r="L39" i="7" s="1"/>
  <c r="K33" i="7"/>
  <c r="N33" i="7" s="1"/>
  <c r="Q33" i="7" s="1"/>
  <c r="T33" i="7" s="1"/>
  <c r="W33" i="7" s="1"/>
  <c r="Z33" i="7" s="1"/>
  <c r="AC33" i="7" s="1"/>
  <c r="AF33" i="7" s="1"/>
  <c r="AI33" i="7" s="1"/>
  <c r="AL33" i="7" s="1"/>
  <c r="AO33" i="7" s="1"/>
  <c r="AR33" i="7" s="1"/>
  <c r="AU33" i="7" s="1"/>
  <c r="AX33" i="7" s="1"/>
  <c r="BA33" i="7" s="1"/>
  <c r="BD33" i="7" s="1"/>
  <c r="BG33" i="7" s="1"/>
  <c r="BJ33" i="7" s="1"/>
  <c r="BM33" i="7" s="1"/>
  <c r="BP33" i="7" s="1"/>
  <c r="BS33" i="7" s="1"/>
  <c r="BV33" i="7" s="1"/>
  <c r="BY33" i="7" s="1"/>
  <c r="CB33" i="7" s="1"/>
  <c r="CE33" i="7" s="1"/>
  <c r="CH33" i="7" s="1"/>
  <c r="CK33" i="7" s="1"/>
  <c r="CN33" i="7" s="1"/>
  <c r="CQ33" i="7" s="1"/>
  <c r="CT33" i="7" s="1"/>
  <c r="CW33" i="7" s="1"/>
  <c r="CZ33" i="7" s="1"/>
  <c r="DC33" i="7" s="1"/>
  <c r="DF33" i="7" s="1"/>
  <c r="DI33" i="7" s="1"/>
  <c r="DL33" i="7" s="1"/>
  <c r="DO33" i="7" s="1"/>
  <c r="DR33" i="7" s="1"/>
  <c r="DU33" i="7" s="1"/>
  <c r="DX33" i="7" s="1"/>
  <c r="K50" i="7"/>
  <c r="L50" i="7" s="1"/>
  <c r="N46" i="7"/>
  <c r="Q46" i="7" s="1"/>
  <c r="T46" i="7" s="1"/>
  <c r="W46" i="7" s="1"/>
  <c r="Z46" i="7" s="1"/>
  <c r="AC46" i="7" s="1"/>
  <c r="AF46" i="7" s="1"/>
  <c r="AI46" i="7" s="1"/>
  <c r="AL46" i="7" s="1"/>
  <c r="AO46" i="7" s="1"/>
  <c r="AR46" i="7" s="1"/>
  <c r="AU46" i="7" s="1"/>
  <c r="AX46" i="7" s="1"/>
  <c r="BA46" i="7" s="1"/>
  <c r="BD46" i="7" s="1"/>
  <c r="BG46" i="7" s="1"/>
  <c r="BJ46" i="7" s="1"/>
  <c r="BM46" i="7" s="1"/>
  <c r="BP46" i="7" s="1"/>
  <c r="BS46" i="7" s="1"/>
  <c r="BV46" i="7" s="1"/>
  <c r="BY46" i="7" s="1"/>
  <c r="CB46" i="7" s="1"/>
  <c r="CE46" i="7" s="1"/>
  <c r="CH46" i="7" s="1"/>
  <c r="CK46" i="7" s="1"/>
  <c r="CN46" i="7" s="1"/>
  <c r="CQ46" i="7" s="1"/>
  <c r="CT46" i="7" s="1"/>
  <c r="CW46" i="7" s="1"/>
  <c r="CZ46" i="7" s="1"/>
  <c r="DC46" i="7" s="1"/>
  <c r="DF46" i="7" s="1"/>
  <c r="DI46" i="7" s="1"/>
  <c r="DL46" i="7" s="1"/>
  <c r="DO46" i="7" s="1"/>
  <c r="DR46" i="7" s="1"/>
  <c r="DU46" i="7" s="1"/>
  <c r="DX46" i="7" s="1"/>
  <c r="L46" i="7"/>
  <c r="K46" i="7"/>
  <c r="K49" i="7"/>
  <c r="N49" i="7" s="1"/>
  <c r="Q49" i="7" s="1"/>
  <c r="T49" i="7" s="1"/>
  <c r="W49" i="7" s="1"/>
  <c r="Z49" i="7" s="1"/>
  <c r="AC49" i="7" s="1"/>
  <c r="AF49" i="7" s="1"/>
  <c r="AI49" i="7" s="1"/>
  <c r="AL49" i="7" s="1"/>
  <c r="AO49" i="7" s="1"/>
  <c r="AR49" i="7" s="1"/>
  <c r="AU49" i="7" s="1"/>
  <c r="AX49" i="7" s="1"/>
  <c r="BA49" i="7" s="1"/>
  <c r="BD49" i="7" s="1"/>
  <c r="BG49" i="7" s="1"/>
  <c r="BJ49" i="7" s="1"/>
  <c r="BM49" i="7" s="1"/>
  <c r="BP49" i="7" s="1"/>
  <c r="BS49" i="7" s="1"/>
  <c r="BV49" i="7" s="1"/>
  <c r="BY49" i="7" s="1"/>
  <c r="CB49" i="7" s="1"/>
  <c r="CE49" i="7" s="1"/>
  <c r="CH49" i="7" s="1"/>
  <c r="CK49" i="7" s="1"/>
  <c r="CN49" i="7" s="1"/>
  <c r="CQ49" i="7" s="1"/>
  <c r="CT49" i="7" s="1"/>
  <c r="CW49" i="7" s="1"/>
  <c r="CZ49" i="7" s="1"/>
  <c r="DC49" i="7" s="1"/>
  <c r="DF49" i="7" s="1"/>
  <c r="DI49" i="7" s="1"/>
  <c r="DL49" i="7" s="1"/>
  <c r="DO49" i="7" s="1"/>
  <c r="DR49" i="7" s="1"/>
  <c r="DU49" i="7" s="1"/>
  <c r="DX49" i="7" s="1"/>
  <c r="K56" i="7"/>
  <c r="L56" i="7" s="1"/>
  <c r="N31" i="7"/>
  <c r="Q31" i="7" s="1"/>
  <c r="T31" i="7" s="1"/>
  <c r="W31" i="7" s="1"/>
  <c r="Z31" i="7" s="1"/>
  <c r="AC31" i="7" s="1"/>
  <c r="AF31" i="7" s="1"/>
  <c r="AI31" i="7" s="1"/>
  <c r="AL31" i="7" s="1"/>
  <c r="AO31" i="7" s="1"/>
  <c r="AR31" i="7" s="1"/>
  <c r="AU31" i="7" s="1"/>
  <c r="AX31" i="7" s="1"/>
  <c r="BA31" i="7" s="1"/>
  <c r="BD31" i="7" s="1"/>
  <c r="BG31" i="7" s="1"/>
  <c r="BJ31" i="7" s="1"/>
  <c r="BM31" i="7" s="1"/>
  <c r="BP31" i="7" s="1"/>
  <c r="BS31" i="7" s="1"/>
  <c r="BV31" i="7" s="1"/>
  <c r="BY31" i="7" s="1"/>
  <c r="CB31" i="7" s="1"/>
  <c r="CE31" i="7" s="1"/>
  <c r="CH31" i="7" s="1"/>
  <c r="CK31" i="7" s="1"/>
  <c r="CN31" i="7" s="1"/>
  <c r="CQ31" i="7" s="1"/>
  <c r="CT31" i="7" s="1"/>
  <c r="CW31" i="7" s="1"/>
  <c r="CZ31" i="7" s="1"/>
  <c r="DC31" i="7" s="1"/>
  <c r="DF31" i="7" s="1"/>
  <c r="DI31" i="7" s="1"/>
  <c r="DL31" i="7" s="1"/>
  <c r="DO31" i="7" s="1"/>
  <c r="DR31" i="7" s="1"/>
  <c r="DU31" i="7" s="1"/>
  <c r="DX31" i="7" s="1"/>
  <c r="K31" i="7"/>
  <c r="L31" i="7" s="1"/>
  <c r="K47" i="7"/>
  <c r="N47" i="7" s="1"/>
  <c r="Q47" i="7" s="1"/>
  <c r="T47" i="7" s="1"/>
  <c r="W47" i="7" s="1"/>
  <c r="Z47" i="7" s="1"/>
  <c r="AC47" i="7" s="1"/>
  <c r="AF47" i="7" s="1"/>
  <c r="AI47" i="7" s="1"/>
  <c r="AL47" i="7" s="1"/>
  <c r="AO47" i="7" s="1"/>
  <c r="AR47" i="7" s="1"/>
  <c r="AU47" i="7" s="1"/>
  <c r="AX47" i="7" s="1"/>
  <c r="BA47" i="7" s="1"/>
  <c r="BD47" i="7" s="1"/>
  <c r="BG47" i="7" s="1"/>
  <c r="BJ47" i="7" s="1"/>
  <c r="BM47" i="7" s="1"/>
  <c r="BP47" i="7" s="1"/>
  <c r="BS47" i="7" s="1"/>
  <c r="BV47" i="7" s="1"/>
  <c r="BY47" i="7" s="1"/>
  <c r="CB47" i="7" s="1"/>
  <c r="CE47" i="7" s="1"/>
  <c r="CH47" i="7" s="1"/>
  <c r="CK47" i="7" s="1"/>
  <c r="CN47" i="7" s="1"/>
  <c r="CQ47" i="7" s="1"/>
  <c r="CT47" i="7" s="1"/>
  <c r="CW47" i="7" s="1"/>
  <c r="CZ47" i="7" s="1"/>
  <c r="DC47" i="7" s="1"/>
  <c r="DF47" i="7" s="1"/>
  <c r="DI47" i="7" s="1"/>
  <c r="DL47" i="7" s="1"/>
  <c r="DO47" i="7" s="1"/>
  <c r="DR47" i="7" s="1"/>
  <c r="DU47" i="7" s="1"/>
  <c r="DX47" i="7" s="1"/>
  <c r="L22" i="7" l="1"/>
  <c r="O22" i="7" s="1"/>
  <c r="N50" i="7"/>
  <c r="Q50" i="7" s="1"/>
  <c r="T50" i="7" s="1"/>
  <c r="W50" i="7" s="1"/>
  <c r="Z50" i="7" s="1"/>
  <c r="AC50" i="7" s="1"/>
  <c r="AF50" i="7" s="1"/>
  <c r="AI50" i="7" s="1"/>
  <c r="AL50" i="7" s="1"/>
  <c r="AO50" i="7" s="1"/>
  <c r="AR50" i="7" s="1"/>
  <c r="AU50" i="7" s="1"/>
  <c r="AX50" i="7" s="1"/>
  <c r="BA50" i="7" s="1"/>
  <c r="BD50" i="7" s="1"/>
  <c r="BG50" i="7" s="1"/>
  <c r="BJ50" i="7" s="1"/>
  <c r="BM50" i="7" s="1"/>
  <c r="BP50" i="7" s="1"/>
  <c r="BS50" i="7" s="1"/>
  <c r="BV50" i="7" s="1"/>
  <c r="BY50" i="7" s="1"/>
  <c r="CB50" i="7" s="1"/>
  <c r="CE50" i="7" s="1"/>
  <c r="CH50" i="7" s="1"/>
  <c r="CK50" i="7" s="1"/>
  <c r="CN50" i="7" s="1"/>
  <c r="CQ50" i="7" s="1"/>
  <c r="CT50" i="7" s="1"/>
  <c r="CW50" i="7" s="1"/>
  <c r="CZ50" i="7" s="1"/>
  <c r="DC50" i="7" s="1"/>
  <c r="DF50" i="7" s="1"/>
  <c r="DI50" i="7" s="1"/>
  <c r="DL50" i="7" s="1"/>
  <c r="DO50" i="7" s="1"/>
  <c r="DR50" i="7" s="1"/>
  <c r="DU50" i="7" s="1"/>
  <c r="DX50" i="7" s="1"/>
  <c r="L33" i="7"/>
  <c r="O33" i="7" s="1"/>
  <c r="L52" i="7"/>
  <c r="O52" i="7" s="1"/>
  <c r="L43" i="7"/>
  <c r="O43" i="7" s="1"/>
  <c r="L49" i="7"/>
  <c r="O49" i="7" s="1"/>
  <c r="R52" i="7"/>
  <c r="N26" i="7"/>
  <c r="N40" i="7"/>
  <c r="O32" i="7"/>
  <c r="N39" i="7"/>
  <c r="O50" i="7"/>
  <c r="R50" i="7" s="1"/>
  <c r="O46" i="7"/>
  <c r="N56" i="7"/>
  <c r="O31" i="7"/>
  <c r="L47" i="7"/>
  <c r="U50" i="7" l="1"/>
  <c r="U52" i="7"/>
  <c r="X52" i="7" s="1"/>
  <c r="R43" i="7"/>
  <c r="U43" i="7" s="1"/>
  <c r="R22" i="7"/>
  <c r="Q26" i="7"/>
  <c r="T26" i="7" s="1"/>
  <c r="W26" i="7" s="1"/>
  <c r="Z26" i="7" s="1"/>
  <c r="AC26" i="7" s="1"/>
  <c r="AF26" i="7" s="1"/>
  <c r="AI26" i="7" s="1"/>
  <c r="AL26" i="7" s="1"/>
  <c r="AO26" i="7" s="1"/>
  <c r="AR26" i="7" s="1"/>
  <c r="AU26" i="7" s="1"/>
  <c r="AX26" i="7" s="1"/>
  <c r="BA26" i="7" s="1"/>
  <c r="BD26" i="7" s="1"/>
  <c r="BG26" i="7" s="1"/>
  <c r="BJ26" i="7" s="1"/>
  <c r="BM26" i="7" s="1"/>
  <c r="BP26" i="7" s="1"/>
  <c r="BS26" i="7" s="1"/>
  <c r="BV26" i="7" s="1"/>
  <c r="BY26" i="7" s="1"/>
  <c r="CB26" i="7" s="1"/>
  <c r="CE26" i="7" s="1"/>
  <c r="CH26" i="7" s="1"/>
  <c r="CK26" i="7" s="1"/>
  <c r="CN26" i="7" s="1"/>
  <c r="CQ26" i="7" s="1"/>
  <c r="CT26" i="7" s="1"/>
  <c r="CW26" i="7" s="1"/>
  <c r="CZ26" i="7" s="1"/>
  <c r="DC26" i="7" s="1"/>
  <c r="DF26" i="7" s="1"/>
  <c r="DI26" i="7" s="1"/>
  <c r="DL26" i="7" s="1"/>
  <c r="DO26" i="7" s="1"/>
  <c r="DR26" i="7" s="1"/>
  <c r="DU26" i="7" s="1"/>
  <c r="DX26" i="7" s="1"/>
  <c r="O26" i="7"/>
  <c r="Q40" i="7"/>
  <c r="T40" i="7" s="1"/>
  <c r="W40" i="7" s="1"/>
  <c r="Z40" i="7" s="1"/>
  <c r="AC40" i="7" s="1"/>
  <c r="AF40" i="7" s="1"/>
  <c r="AI40" i="7" s="1"/>
  <c r="AL40" i="7" s="1"/>
  <c r="AO40" i="7" s="1"/>
  <c r="AR40" i="7" s="1"/>
  <c r="AU40" i="7" s="1"/>
  <c r="AX40" i="7" s="1"/>
  <c r="BA40" i="7" s="1"/>
  <c r="BD40" i="7" s="1"/>
  <c r="BG40" i="7" s="1"/>
  <c r="BJ40" i="7" s="1"/>
  <c r="BM40" i="7" s="1"/>
  <c r="BP40" i="7" s="1"/>
  <c r="BS40" i="7" s="1"/>
  <c r="BV40" i="7" s="1"/>
  <c r="BY40" i="7" s="1"/>
  <c r="CB40" i="7" s="1"/>
  <c r="CE40" i="7" s="1"/>
  <c r="CH40" i="7" s="1"/>
  <c r="CK40" i="7" s="1"/>
  <c r="CN40" i="7" s="1"/>
  <c r="CQ40" i="7" s="1"/>
  <c r="CT40" i="7" s="1"/>
  <c r="CW40" i="7" s="1"/>
  <c r="CZ40" i="7" s="1"/>
  <c r="DC40" i="7" s="1"/>
  <c r="DF40" i="7" s="1"/>
  <c r="DI40" i="7" s="1"/>
  <c r="DL40" i="7" s="1"/>
  <c r="DO40" i="7" s="1"/>
  <c r="DR40" i="7" s="1"/>
  <c r="DU40" i="7" s="1"/>
  <c r="DX40" i="7" s="1"/>
  <c r="O40" i="7"/>
  <c r="R32" i="7"/>
  <c r="Q39" i="7"/>
  <c r="T39" i="7" s="1"/>
  <c r="W39" i="7" s="1"/>
  <c r="Z39" i="7" s="1"/>
  <c r="AC39" i="7" s="1"/>
  <c r="AF39" i="7" s="1"/>
  <c r="AI39" i="7" s="1"/>
  <c r="AL39" i="7" s="1"/>
  <c r="AO39" i="7" s="1"/>
  <c r="AR39" i="7" s="1"/>
  <c r="AU39" i="7" s="1"/>
  <c r="AX39" i="7" s="1"/>
  <c r="BA39" i="7" s="1"/>
  <c r="BD39" i="7" s="1"/>
  <c r="BG39" i="7" s="1"/>
  <c r="BJ39" i="7" s="1"/>
  <c r="BM39" i="7" s="1"/>
  <c r="BP39" i="7" s="1"/>
  <c r="BS39" i="7" s="1"/>
  <c r="BV39" i="7" s="1"/>
  <c r="BY39" i="7" s="1"/>
  <c r="CB39" i="7" s="1"/>
  <c r="CE39" i="7" s="1"/>
  <c r="CH39" i="7" s="1"/>
  <c r="CK39" i="7" s="1"/>
  <c r="CN39" i="7" s="1"/>
  <c r="CQ39" i="7" s="1"/>
  <c r="CT39" i="7" s="1"/>
  <c r="CW39" i="7" s="1"/>
  <c r="CZ39" i="7" s="1"/>
  <c r="DC39" i="7" s="1"/>
  <c r="DF39" i="7" s="1"/>
  <c r="DI39" i="7" s="1"/>
  <c r="DL39" i="7" s="1"/>
  <c r="DO39" i="7" s="1"/>
  <c r="DR39" i="7" s="1"/>
  <c r="DU39" i="7" s="1"/>
  <c r="DX39" i="7" s="1"/>
  <c r="O39" i="7"/>
  <c r="R33" i="7"/>
  <c r="AA50" i="7"/>
  <c r="X50" i="7"/>
  <c r="AD50" i="7"/>
  <c r="R46" i="7"/>
  <c r="U49" i="7"/>
  <c r="R49" i="7"/>
  <c r="X49" i="7"/>
  <c r="Q56" i="7"/>
  <c r="T56" i="7" s="1"/>
  <c r="W56" i="7" s="1"/>
  <c r="Z56" i="7" s="1"/>
  <c r="AC56" i="7" s="1"/>
  <c r="AF56" i="7" s="1"/>
  <c r="AI56" i="7" s="1"/>
  <c r="AL56" i="7" s="1"/>
  <c r="AO56" i="7" s="1"/>
  <c r="AR56" i="7" s="1"/>
  <c r="AU56" i="7" s="1"/>
  <c r="AX56" i="7" s="1"/>
  <c r="BA56" i="7" s="1"/>
  <c r="BD56" i="7" s="1"/>
  <c r="BG56" i="7" s="1"/>
  <c r="BJ56" i="7" s="1"/>
  <c r="BM56" i="7" s="1"/>
  <c r="BP56" i="7" s="1"/>
  <c r="BS56" i="7" s="1"/>
  <c r="BV56" i="7" s="1"/>
  <c r="BY56" i="7" s="1"/>
  <c r="CB56" i="7" s="1"/>
  <c r="CE56" i="7" s="1"/>
  <c r="CH56" i="7" s="1"/>
  <c r="CK56" i="7" s="1"/>
  <c r="CN56" i="7" s="1"/>
  <c r="CQ56" i="7" s="1"/>
  <c r="CT56" i="7" s="1"/>
  <c r="CW56" i="7" s="1"/>
  <c r="CZ56" i="7" s="1"/>
  <c r="DC56" i="7" s="1"/>
  <c r="DF56" i="7" s="1"/>
  <c r="DI56" i="7" s="1"/>
  <c r="DL56" i="7" s="1"/>
  <c r="DO56" i="7" s="1"/>
  <c r="DR56" i="7" s="1"/>
  <c r="DU56" i="7" s="1"/>
  <c r="DX56" i="7" s="1"/>
  <c r="O56" i="7"/>
  <c r="R31" i="7"/>
  <c r="U31" i="7"/>
  <c r="O47" i="7"/>
  <c r="R47" i="7"/>
  <c r="X31" i="7" l="1"/>
  <c r="AA52" i="7"/>
  <c r="X43" i="7"/>
  <c r="U22" i="7"/>
  <c r="R26" i="7"/>
  <c r="R40" i="7"/>
  <c r="U32" i="7"/>
  <c r="X32" i="7" s="1"/>
  <c r="AA32" i="7" s="1"/>
  <c r="R39" i="7"/>
  <c r="U39" i="7" s="1"/>
  <c r="U33" i="7"/>
  <c r="X33" i="7" s="1"/>
  <c r="AG50" i="7"/>
  <c r="U46" i="7"/>
  <c r="X46" i="7" s="1"/>
  <c r="AA49" i="7"/>
  <c r="R56" i="7"/>
  <c r="AA31" i="7"/>
  <c r="U47" i="7"/>
  <c r="AD31" i="7" l="1"/>
  <c r="AG31" i="7" s="1"/>
  <c r="X22" i="7"/>
  <c r="AA22" i="7" s="1"/>
  <c r="AD52" i="7"/>
  <c r="AA43" i="7"/>
  <c r="U26" i="7"/>
  <c r="U40" i="7"/>
  <c r="X40" i="7" s="1"/>
  <c r="AD32" i="7"/>
  <c r="X39" i="7"/>
  <c r="AA39" i="7" s="1"/>
  <c r="AA33" i="7"/>
  <c r="AJ50" i="7"/>
  <c r="AA46" i="7"/>
  <c r="AD49" i="7"/>
  <c r="U56" i="7"/>
  <c r="AJ31" i="7"/>
  <c r="AM31" i="7" s="1"/>
  <c r="X47" i="7"/>
  <c r="AD33" i="7" l="1"/>
  <c r="AD22" i="7"/>
  <c r="AG52" i="7"/>
  <c r="AD43" i="7"/>
  <c r="X26" i="7"/>
  <c r="AA26" i="7" s="1"/>
  <c r="AA40" i="7"/>
  <c r="AJ32" i="7"/>
  <c r="AM32" i="7" s="1"/>
  <c r="AG32" i="7"/>
  <c r="AD39" i="7"/>
  <c r="AG39" i="7"/>
  <c r="AM50" i="7"/>
  <c r="AD46" i="7"/>
  <c r="AG49" i="7"/>
  <c r="AJ49" i="7" s="1"/>
  <c r="X56" i="7"/>
  <c r="AP31" i="7"/>
  <c r="AA47" i="7"/>
  <c r="AJ52" i="7" l="1"/>
  <c r="AM52" i="7" s="1"/>
  <c r="AG33" i="7"/>
  <c r="AG22" i="7"/>
  <c r="AJ22" i="7" s="1"/>
  <c r="AG43" i="7"/>
  <c r="AD26" i="7"/>
  <c r="AG26" i="7" s="1"/>
  <c r="AD40" i="7"/>
  <c r="AG40" i="7" s="1"/>
  <c r="AP32" i="7"/>
  <c r="AJ39" i="7"/>
  <c r="AP50" i="7"/>
  <c r="AG46" i="7"/>
  <c r="AM49" i="7"/>
  <c r="AP49" i="7" s="1"/>
  <c r="AS49" i="7" s="1"/>
  <c r="AV49" i="7" s="1"/>
  <c r="AY49" i="7" s="1"/>
  <c r="AA56" i="7"/>
  <c r="AS31" i="7"/>
  <c r="AV31" i="7" s="1"/>
  <c r="AY31" i="7" s="1"/>
  <c r="AD47" i="7"/>
  <c r="AP52" i="7" l="1"/>
  <c r="AS52" i="7" s="1"/>
  <c r="BB31" i="7"/>
  <c r="BE31" i="7" s="1"/>
  <c r="BH31" i="7" s="1"/>
  <c r="BK31" i="7" s="1"/>
  <c r="BN31" i="7" s="1"/>
  <c r="BQ31" i="7" s="1"/>
  <c r="BT31" i="7" s="1"/>
  <c r="BW31" i="7" s="1"/>
  <c r="BZ31" i="7" s="1"/>
  <c r="CC31" i="7" s="1"/>
  <c r="CF31" i="7" s="1"/>
  <c r="CI31" i="7" s="1"/>
  <c r="CL31" i="7" s="1"/>
  <c r="CO31" i="7" s="1"/>
  <c r="CR31" i="7" s="1"/>
  <c r="CU31" i="7" s="1"/>
  <c r="AM22" i="7"/>
  <c r="AP22" i="7" s="1"/>
  <c r="AS22" i="7" s="1"/>
  <c r="AV22" i="7" s="1"/>
  <c r="AY22" i="7" s="1"/>
  <c r="BB22" i="7" s="1"/>
  <c r="BE22" i="7" s="1"/>
  <c r="BH22" i="7" s="1"/>
  <c r="BK22" i="7" s="1"/>
  <c r="BN22" i="7" s="1"/>
  <c r="BQ22" i="7" s="1"/>
  <c r="BT22" i="7" s="1"/>
  <c r="BW22" i="7" s="1"/>
  <c r="BZ22" i="7" s="1"/>
  <c r="CC22" i="7" s="1"/>
  <c r="CF22" i="7" s="1"/>
  <c r="CI22" i="7" s="1"/>
  <c r="CL22" i="7" s="1"/>
  <c r="CO22" i="7" s="1"/>
  <c r="CR22" i="7" s="1"/>
  <c r="CU22" i="7" s="1"/>
  <c r="AJ40" i="7"/>
  <c r="AM40" i="7" s="1"/>
  <c r="AP40" i="7" s="1"/>
  <c r="AS40" i="7" s="1"/>
  <c r="AV40" i="7" s="1"/>
  <c r="AY40" i="7" s="1"/>
  <c r="BB40" i="7" s="1"/>
  <c r="BE40" i="7" s="1"/>
  <c r="BH40" i="7" s="1"/>
  <c r="BK40" i="7" s="1"/>
  <c r="BN40" i="7" s="1"/>
  <c r="BQ40" i="7" s="1"/>
  <c r="BT40" i="7" s="1"/>
  <c r="BW40" i="7" s="1"/>
  <c r="BZ40" i="7" s="1"/>
  <c r="CC40" i="7" s="1"/>
  <c r="CF40" i="7" s="1"/>
  <c r="CI40" i="7" s="1"/>
  <c r="CL40" i="7" s="1"/>
  <c r="CO40" i="7" s="1"/>
  <c r="CR40" i="7" s="1"/>
  <c r="CU40" i="7" s="1"/>
  <c r="AJ33" i="7"/>
  <c r="AM33" i="7" s="1"/>
  <c r="AJ43" i="7"/>
  <c r="AJ26" i="7"/>
  <c r="AS32" i="7"/>
  <c r="AM39" i="7"/>
  <c r="AP39" i="7" s="1"/>
  <c r="AS39" i="7" s="1"/>
  <c r="AV39" i="7" s="1"/>
  <c r="AY39" i="7" s="1"/>
  <c r="BB39" i="7" s="1"/>
  <c r="BE39" i="7" s="1"/>
  <c r="BH39" i="7" s="1"/>
  <c r="BK39" i="7" s="1"/>
  <c r="BN39" i="7" s="1"/>
  <c r="BQ39" i="7" s="1"/>
  <c r="BT39" i="7" s="1"/>
  <c r="BW39" i="7" s="1"/>
  <c r="BZ39" i="7" s="1"/>
  <c r="CC39" i="7" s="1"/>
  <c r="CF39" i="7" s="1"/>
  <c r="CI39" i="7" s="1"/>
  <c r="CL39" i="7" s="1"/>
  <c r="CO39" i="7" s="1"/>
  <c r="CR39" i="7" s="1"/>
  <c r="CU39" i="7" s="1"/>
  <c r="AS50" i="7"/>
  <c r="AV50" i="7" s="1"/>
  <c r="AY50" i="7" s="1"/>
  <c r="BB50" i="7" s="1"/>
  <c r="BE50" i="7" s="1"/>
  <c r="BH50" i="7" s="1"/>
  <c r="BK50" i="7" s="1"/>
  <c r="BN50" i="7" s="1"/>
  <c r="BQ50" i="7" s="1"/>
  <c r="BT50" i="7" s="1"/>
  <c r="BW50" i="7" s="1"/>
  <c r="BZ50" i="7" s="1"/>
  <c r="CC50" i="7" s="1"/>
  <c r="CF50" i="7" s="1"/>
  <c r="CI50" i="7" s="1"/>
  <c r="CL50" i="7" s="1"/>
  <c r="CO50" i="7" s="1"/>
  <c r="CR50" i="7" s="1"/>
  <c r="CU50" i="7" s="1"/>
  <c r="AJ46" i="7"/>
  <c r="BB49" i="7"/>
  <c r="BE49" i="7" s="1"/>
  <c r="AD56" i="7"/>
  <c r="AG56" i="7" s="1"/>
  <c r="AJ56" i="7" s="1"/>
  <c r="AM56" i="7" s="1"/>
  <c r="AP56" i="7" s="1"/>
  <c r="AS56" i="7" s="1"/>
  <c r="AV56" i="7" s="1"/>
  <c r="AY56" i="7" s="1"/>
  <c r="BB56" i="7" s="1"/>
  <c r="AG47" i="7"/>
  <c r="CX31" i="7" l="1"/>
  <c r="DA31" i="7" s="1"/>
  <c r="DD31" i="7" s="1"/>
  <c r="DG31" i="7" s="1"/>
  <c r="AV52" i="7"/>
  <c r="AY52" i="7" s="1"/>
  <c r="BB52" i="7" s="1"/>
  <c r="BK49" i="7"/>
  <c r="BN49" i="7" s="1"/>
  <c r="BQ49" i="7" s="1"/>
  <c r="BT49" i="7" s="1"/>
  <c r="BW49" i="7" s="1"/>
  <c r="BZ49" i="7" s="1"/>
  <c r="CC49" i="7" s="1"/>
  <c r="CF49" i="7" s="1"/>
  <c r="CI49" i="7" s="1"/>
  <c r="CL49" i="7" s="1"/>
  <c r="CO49" i="7" s="1"/>
  <c r="CR49" i="7" s="1"/>
  <c r="CU49" i="7" s="1"/>
  <c r="BH49" i="7"/>
  <c r="AP33" i="7"/>
  <c r="AM43" i="7"/>
  <c r="AP43" i="7" s="1"/>
  <c r="AS43" i="7" s="1"/>
  <c r="AV43" i="7" s="1"/>
  <c r="AY43" i="7" s="1"/>
  <c r="BB43" i="7" s="1"/>
  <c r="BE43" i="7" s="1"/>
  <c r="BH43" i="7" s="1"/>
  <c r="BK43" i="7" s="1"/>
  <c r="BN43" i="7" s="1"/>
  <c r="BQ43" i="7" s="1"/>
  <c r="BT43" i="7" s="1"/>
  <c r="BW43" i="7" s="1"/>
  <c r="BZ43" i="7" s="1"/>
  <c r="CC43" i="7" s="1"/>
  <c r="CF43" i="7" s="1"/>
  <c r="CI43" i="7" s="1"/>
  <c r="CL43" i="7" s="1"/>
  <c r="CO43" i="7" s="1"/>
  <c r="CR43" i="7" s="1"/>
  <c r="CU43" i="7" s="1"/>
  <c r="G22" i="7"/>
  <c r="CX22" i="7"/>
  <c r="DA22" i="7" s="1"/>
  <c r="DD22" i="7" s="1"/>
  <c r="DG22" i="7" s="1"/>
  <c r="AM26" i="7"/>
  <c r="AP26" i="7" s="1"/>
  <c r="AS26" i="7" s="1"/>
  <c r="AV26" i="7" s="1"/>
  <c r="AY26" i="7" s="1"/>
  <c r="BB26" i="7" s="1"/>
  <c r="BE26" i="7" s="1"/>
  <c r="BH26" i="7" s="1"/>
  <c r="BK26" i="7" s="1"/>
  <c r="BN26" i="7" s="1"/>
  <c r="BQ26" i="7" s="1"/>
  <c r="BT26" i="7" s="1"/>
  <c r="BW26" i="7" s="1"/>
  <c r="BZ26" i="7" s="1"/>
  <c r="CC26" i="7" s="1"/>
  <c r="CF26" i="7" s="1"/>
  <c r="CI26" i="7" s="1"/>
  <c r="CL26" i="7" s="1"/>
  <c r="CO26" i="7" s="1"/>
  <c r="CR26" i="7" s="1"/>
  <c r="CX40" i="7"/>
  <c r="DA40" i="7" s="1"/>
  <c r="DD40" i="7" s="1"/>
  <c r="DG40" i="7" s="1"/>
  <c r="AV32" i="7"/>
  <c r="AY32" i="7" s="1"/>
  <c r="BB32" i="7" s="1"/>
  <c r="BE32" i="7" s="1"/>
  <c r="BH32" i="7" s="1"/>
  <c r="BK32" i="7" s="1"/>
  <c r="BN32" i="7" s="1"/>
  <c r="BQ32" i="7" s="1"/>
  <c r="BT32" i="7" s="1"/>
  <c r="BW32" i="7" s="1"/>
  <c r="BZ32" i="7" s="1"/>
  <c r="CC32" i="7" s="1"/>
  <c r="CF32" i="7" s="1"/>
  <c r="CI32" i="7" s="1"/>
  <c r="CL32" i="7" s="1"/>
  <c r="CO32" i="7" s="1"/>
  <c r="CR32" i="7" s="1"/>
  <c r="CU32" i="7" s="1"/>
  <c r="CX39" i="7"/>
  <c r="DA39" i="7" s="1"/>
  <c r="DD39" i="7" s="1"/>
  <c r="DG39" i="7" s="1"/>
  <c r="CX50" i="7"/>
  <c r="DA50" i="7" s="1"/>
  <c r="DD50" i="7" s="1"/>
  <c r="DG50" i="7" s="1"/>
  <c r="AM46" i="7"/>
  <c r="AP46" i="7" s="1"/>
  <c r="AS46" i="7"/>
  <c r="AV46" i="7" s="1"/>
  <c r="AY46" i="7" s="1"/>
  <c r="BB46" i="7" s="1"/>
  <c r="BE46" i="7" s="1"/>
  <c r="BH46" i="7" s="1"/>
  <c r="BK46" i="7" s="1"/>
  <c r="BN46" i="7" s="1"/>
  <c r="BQ46" i="7" s="1"/>
  <c r="BT46" i="7" s="1"/>
  <c r="BW46" i="7" s="1"/>
  <c r="BZ46" i="7" s="1"/>
  <c r="CC46" i="7" s="1"/>
  <c r="CF46" i="7" s="1"/>
  <c r="CI46" i="7" s="1"/>
  <c r="CL46" i="7" s="1"/>
  <c r="CO46" i="7" s="1"/>
  <c r="CR46" i="7" s="1"/>
  <c r="CU46" i="7" s="1"/>
  <c r="BE56" i="7"/>
  <c r="BH56" i="7" s="1"/>
  <c r="BK56" i="7" s="1"/>
  <c r="BN56" i="7" s="1"/>
  <c r="BQ56" i="7" s="1"/>
  <c r="BT56" i="7" s="1"/>
  <c r="BW56" i="7" s="1"/>
  <c r="BZ56" i="7" s="1"/>
  <c r="CC56" i="7" s="1"/>
  <c r="CF56" i="7" s="1"/>
  <c r="CI56" i="7" s="1"/>
  <c r="CL56" i="7" s="1"/>
  <c r="CO56" i="7" s="1"/>
  <c r="CR56" i="7" s="1"/>
  <c r="CU56" i="7" s="1"/>
  <c r="EA31" i="7"/>
  <c r="DJ31" i="7"/>
  <c r="DM31" i="7" s="1"/>
  <c r="DP31" i="7" s="1"/>
  <c r="DS31" i="7" s="1"/>
  <c r="DV31" i="7" s="1"/>
  <c r="DY31" i="7" s="1"/>
  <c r="AJ47" i="7"/>
  <c r="CX49" i="7" l="1"/>
  <c r="DA49" i="7" s="1"/>
  <c r="DD49" i="7" s="1"/>
  <c r="DG49" i="7" s="1"/>
  <c r="BE52" i="7"/>
  <c r="BH52" i="7" s="1"/>
  <c r="AS33" i="7"/>
  <c r="CX43" i="7"/>
  <c r="DA43" i="7" s="1"/>
  <c r="DD43" i="7" s="1"/>
  <c r="DG43" i="7" s="1"/>
  <c r="EA22" i="7"/>
  <c r="DJ22" i="7"/>
  <c r="DM22" i="7" s="1"/>
  <c r="DP22" i="7" s="1"/>
  <c r="DS22" i="7" s="1"/>
  <c r="DV22" i="7" s="1"/>
  <c r="DY22" i="7" s="1"/>
  <c r="CU26" i="7"/>
  <c r="EA40" i="7"/>
  <c r="DJ40" i="7"/>
  <c r="DM40" i="7" s="1"/>
  <c r="DP40" i="7" s="1"/>
  <c r="DS40" i="7" s="1"/>
  <c r="DV40" i="7" s="1"/>
  <c r="DY40" i="7" s="1"/>
  <c r="CX32" i="7"/>
  <c r="DA32" i="7" s="1"/>
  <c r="DD32" i="7" s="1"/>
  <c r="DG32" i="7" s="1"/>
  <c r="EA39" i="7"/>
  <c r="DJ39" i="7"/>
  <c r="DM39" i="7" s="1"/>
  <c r="DP39" i="7" s="1"/>
  <c r="DS39" i="7" s="1"/>
  <c r="DV39" i="7" s="1"/>
  <c r="DY39" i="7" s="1"/>
  <c r="EA50" i="7"/>
  <c r="DJ50" i="7"/>
  <c r="DM50" i="7" s="1"/>
  <c r="DP50" i="7" s="1"/>
  <c r="DS50" i="7" s="1"/>
  <c r="DV50" i="7" s="1"/>
  <c r="DY50" i="7" s="1"/>
  <c r="CX46" i="7"/>
  <c r="DA46" i="7" s="1"/>
  <c r="DD46" i="7" s="1"/>
  <c r="DG46" i="7" s="1"/>
  <c r="EA49" i="7"/>
  <c r="DJ49" i="7"/>
  <c r="DM49" i="7" s="1"/>
  <c r="DP49" i="7" s="1"/>
  <c r="DS49" i="7" s="1"/>
  <c r="DV49" i="7" s="1"/>
  <c r="DY49" i="7" s="1"/>
  <c r="CX56" i="7"/>
  <c r="DA56" i="7" s="1"/>
  <c r="DD56" i="7" s="1"/>
  <c r="DG56" i="7" s="1"/>
  <c r="AM47" i="7"/>
  <c r="AP47" i="7" s="1"/>
  <c r="AS47" i="7" s="1"/>
  <c r="AV47" i="7" s="1"/>
  <c r="AY47" i="7"/>
  <c r="BB47" i="7" s="1"/>
  <c r="BE47" i="7" s="1"/>
  <c r="BH47" i="7" s="1"/>
  <c r="BK47" i="7" s="1"/>
  <c r="BN47" i="7" s="1"/>
  <c r="BQ47" i="7" s="1"/>
  <c r="BT47" i="7" s="1"/>
  <c r="BW47" i="7" s="1"/>
  <c r="BZ47" i="7" s="1"/>
  <c r="CC47" i="7" s="1"/>
  <c r="CF47" i="7" s="1"/>
  <c r="CI47" i="7" s="1"/>
  <c r="CL47" i="7" s="1"/>
  <c r="CO47" i="7" s="1"/>
  <c r="CR47" i="7" s="1"/>
  <c r="CU47" i="7" s="1"/>
  <c r="BK52" i="7" l="1"/>
  <c r="BN52" i="7" s="1"/>
  <c r="BQ52" i="7" s="1"/>
  <c r="BT52" i="7" s="1"/>
  <c r="BW52" i="7" s="1"/>
  <c r="BZ52" i="7" s="1"/>
  <c r="CC52" i="7" s="1"/>
  <c r="CF52" i="7" s="1"/>
  <c r="CI52" i="7" s="1"/>
  <c r="CL52" i="7" s="1"/>
  <c r="CO52" i="7" s="1"/>
  <c r="CR52" i="7" s="1"/>
  <c r="CU52" i="7" s="1"/>
  <c r="AV33" i="7"/>
  <c r="AY33" i="7" s="1"/>
  <c r="EA43" i="7"/>
  <c r="DJ43" i="7"/>
  <c r="DM43" i="7" s="1"/>
  <c r="DP43" i="7" s="1"/>
  <c r="DS43" i="7" s="1"/>
  <c r="DV43" i="7" s="1"/>
  <c r="DY43" i="7" s="1"/>
  <c r="G26" i="7"/>
  <c r="CX26" i="7"/>
  <c r="DA26" i="7" s="1"/>
  <c r="DD26" i="7" s="1"/>
  <c r="DG26" i="7" s="1"/>
  <c r="EA32" i="7"/>
  <c r="DJ32" i="7"/>
  <c r="DM32" i="7" s="1"/>
  <c r="DP32" i="7" s="1"/>
  <c r="DS32" i="7" s="1"/>
  <c r="DV32" i="7" s="1"/>
  <c r="DY32" i="7" s="1"/>
  <c r="EA46" i="7"/>
  <c r="DJ46" i="7"/>
  <c r="DM46" i="7" s="1"/>
  <c r="DP46" i="7" s="1"/>
  <c r="DS46" i="7" s="1"/>
  <c r="DV46" i="7" s="1"/>
  <c r="DY46" i="7" s="1"/>
  <c r="EA56" i="7"/>
  <c r="DJ56" i="7"/>
  <c r="DM56" i="7" s="1"/>
  <c r="DP56" i="7" s="1"/>
  <c r="DS56" i="7" s="1"/>
  <c r="DV56" i="7" s="1"/>
  <c r="DY56" i="7" s="1"/>
  <c r="CX47" i="7"/>
  <c r="DA47" i="7" s="1"/>
  <c r="DD47" i="7" s="1"/>
  <c r="DG47" i="7" s="1"/>
  <c r="CX52" i="7" l="1"/>
  <c r="DA52" i="7" s="1"/>
  <c r="DD52" i="7" s="1"/>
  <c r="DG52" i="7" s="1"/>
  <c r="BB33" i="7"/>
  <c r="BE33" i="7" s="1"/>
  <c r="BH33" i="7" s="1"/>
  <c r="BK33" i="7" s="1"/>
  <c r="BN33" i="7" s="1"/>
  <c r="BQ33" i="7" s="1"/>
  <c r="BT33" i="7" s="1"/>
  <c r="BW33" i="7" s="1"/>
  <c r="BZ33" i="7" s="1"/>
  <c r="CC33" i="7" s="1"/>
  <c r="CF33" i="7" s="1"/>
  <c r="CI33" i="7" s="1"/>
  <c r="CL33" i="7" s="1"/>
  <c r="CO33" i="7" s="1"/>
  <c r="CR33" i="7" s="1"/>
  <c r="CU33" i="7" s="1"/>
  <c r="EA26" i="7"/>
  <c r="DJ26" i="7"/>
  <c r="DM26" i="7" s="1"/>
  <c r="DP26" i="7" s="1"/>
  <c r="DS26" i="7" s="1"/>
  <c r="DV26" i="7" s="1"/>
  <c r="DY26" i="7" s="1"/>
  <c r="EA47" i="7"/>
  <c r="DJ47" i="7"/>
  <c r="DM47" i="7" s="1"/>
  <c r="DP47" i="7" s="1"/>
  <c r="DS47" i="7" s="1"/>
  <c r="DV47" i="7" s="1"/>
  <c r="DY47" i="7" s="1"/>
  <c r="EA52" i="7" l="1"/>
  <c r="DJ52" i="7"/>
  <c r="DM52" i="7" s="1"/>
  <c r="DP52" i="7" s="1"/>
  <c r="DS52" i="7" s="1"/>
  <c r="DV52" i="7" s="1"/>
  <c r="DY52" i="7" s="1"/>
  <c r="CX33" i="7"/>
  <c r="DA33" i="7" s="1"/>
  <c r="DD33" i="7" s="1"/>
  <c r="DG33" i="7" s="1"/>
  <c r="EA33" i="7" l="1"/>
  <c r="DJ33" i="7"/>
  <c r="DM33" i="7" s="1"/>
  <c r="DP33" i="7" s="1"/>
  <c r="DS33" i="7" s="1"/>
  <c r="DV33" i="7" s="1"/>
  <c r="DY33" i="7" s="1"/>
  <c r="G25" i="6" l="1"/>
  <c r="G24" i="6"/>
  <c r="G23" i="6"/>
  <c r="G22" i="6"/>
  <c r="G21" i="6"/>
  <c r="G20" i="6"/>
  <c r="G19" i="6"/>
  <c r="G18" i="6"/>
  <c r="G17" i="6"/>
  <c r="G15" i="6"/>
  <c r="G14" i="6"/>
  <c r="G13" i="6"/>
  <c r="G12" i="6"/>
  <c r="G11" i="6"/>
  <c r="G10" i="6"/>
  <c r="G9" i="6"/>
  <c r="G8" i="6"/>
  <c r="K4" i="7"/>
  <c r="L4" i="7" s="1"/>
  <c r="K59" i="7"/>
  <c r="K58" i="7"/>
  <c r="L58" i="7" s="1"/>
  <c r="K57" i="7"/>
  <c r="N57" i="7" s="1"/>
  <c r="Q57" i="7" s="1"/>
  <c r="T57" i="7" s="1"/>
  <c r="W57" i="7" s="1"/>
  <c r="Z57" i="7" s="1"/>
  <c r="AC57" i="7" s="1"/>
  <c r="AF57" i="7" s="1"/>
  <c r="AI57" i="7" s="1"/>
  <c r="AL57" i="7" s="1"/>
  <c r="AO57" i="7" s="1"/>
  <c r="AR57" i="7" s="1"/>
  <c r="AU57" i="7" s="1"/>
  <c r="AX57" i="7" s="1"/>
  <c r="BA57" i="7" s="1"/>
  <c r="BD57" i="7" s="1"/>
  <c r="BG57" i="7" s="1"/>
  <c r="BJ57" i="7" s="1"/>
  <c r="BM57" i="7" s="1"/>
  <c r="BP57" i="7" s="1"/>
  <c r="BS57" i="7" s="1"/>
  <c r="BV57" i="7" s="1"/>
  <c r="BY57" i="7" s="1"/>
  <c r="CB57" i="7" s="1"/>
  <c r="CE57" i="7" s="1"/>
  <c r="CH57" i="7" s="1"/>
  <c r="CK57" i="7" s="1"/>
  <c r="CN57" i="7" s="1"/>
  <c r="CQ57" i="7" s="1"/>
  <c r="CT57" i="7" s="1"/>
  <c r="CW57" i="7" s="1"/>
  <c r="CZ57" i="7" s="1"/>
  <c r="DC57" i="7" s="1"/>
  <c r="DF57" i="7" s="1"/>
  <c r="DI57" i="7" s="1"/>
  <c r="DL57" i="7" s="1"/>
  <c r="DO57" i="7" s="1"/>
  <c r="DR57" i="7" s="1"/>
  <c r="DU57" i="7" s="1"/>
  <c r="DX57" i="7" s="1"/>
  <c r="K55" i="7"/>
  <c r="L55" i="7" s="1"/>
  <c r="K54" i="7"/>
  <c r="K53" i="7"/>
  <c r="N53" i="7" s="1"/>
  <c r="Q53" i="7" s="1"/>
  <c r="K51" i="7"/>
  <c r="L51" i="7" s="1"/>
  <c r="K48" i="7"/>
  <c r="L48" i="7" s="1"/>
  <c r="K45" i="7"/>
  <c r="L45" i="7" s="1"/>
  <c r="K44" i="7"/>
  <c r="K42" i="7"/>
  <c r="L42" i="7" s="1"/>
  <c r="K41" i="7"/>
  <c r="L41" i="7" s="1"/>
  <c r="K38" i="7"/>
  <c r="L38" i="7" s="1"/>
  <c r="K37" i="7"/>
  <c r="L37" i="7" s="1"/>
  <c r="K36" i="7"/>
  <c r="N36" i="7" s="1"/>
  <c r="Q36" i="7" s="1"/>
  <c r="T36" i="7" s="1"/>
  <c r="W36" i="7" s="1"/>
  <c r="Z36" i="7" s="1"/>
  <c r="AC36" i="7" s="1"/>
  <c r="AF36" i="7" s="1"/>
  <c r="AI36" i="7" s="1"/>
  <c r="AL36" i="7" s="1"/>
  <c r="AO36" i="7" s="1"/>
  <c r="AR36" i="7" s="1"/>
  <c r="AU36" i="7" s="1"/>
  <c r="AX36" i="7" s="1"/>
  <c r="BA36" i="7" s="1"/>
  <c r="BD36" i="7" s="1"/>
  <c r="BG36" i="7" s="1"/>
  <c r="BJ36" i="7" s="1"/>
  <c r="BM36" i="7" s="1"/>
  <c r="BP36" i="7" s="1"/>
  <c r="BS36" i="7" s="1"/>
  <c r="BV36" i="7" s="1"/>
  <c r="BY36" i="7" s="1"/>
  <c r="CB36" i="7" s="1"/>
  <c r="CE36" i="7" s="1"/>
  <c r="CH36" i="7" s="1"/>
  <c r="CK36" i="7" s="1"/>
  <c r="CN36" i="7" s="1"/>
  <c r="CQ36" i="7" s="1"/>
  <c r="CT36" i="7" s="1"/>
  <c r="CW36" i="7" s="1"/>
  <c r="CZ36" i="7" s="1"/>
  <c r="DC36" i="7" s="1"/>
  <c r="DF36" i="7" s="1"/>
  <c r="DI36" i="7" s="1"/>
  <c r="DL36" i="7" s="1"/>
  <c r="DO36" i="7" s="1"/>
  <c r="DR36" i="7" s="1"/>
  <c r="DU36" i="7" s="1"/>
  <c r="DX36" i="7" s="1"/>
  <c r="K35" i="7"/>
  <c r="L35" i="7" s="1"/>
  <c r="K34" i="7"/>
  <c r="N34" i="7" s="1"/>
  <c r="Q34" i="7" s="1"/>
  <c r="T34" i="7" s="1"/>
  <c r="K30" i="7"/>
  <c r="L30" i="7" s="1"/>
  <c r="K29" i="7"/>
  <c r="L29" i="7" s="1"/>
  <c r="K28" i="7"/>
  <c r="K27" i="7"/>
  <c r="L27" i="7" s="1"/>
  <c r="K25" i="7"/>
  <c r="L25" i="7" s="1"/>
  <c r="K24" i="7"/>
  <c r="L24" i="7" s="1"/>
  <c r="K23" i="7"/>
  <c r="L23" i="7" s="1"/>
  <c r="K21" i="7"/>
  <c r="N21" i="7" s="1"/>
  <c r="Q21" i="7" s="1"/>
  <c r="T21" i="7" s="1"/>
  <c r="W21" i="7" s="1"/>
  <c r="Z21" i="7" s="1"/>
  <c r="AC21" i="7" s="1"/>
  <c r="AF21" i="7" s="1"/>
  <c r="AI21" i="7" s="1"/>
  <c r="AL21" i="7" s="1"/>
  <c r="AO21" i="7" s="1"/>
  <c r="AR21" i="7" s="1"/>
  <c r="AU21" i="7" s="1"/>
  <c r="AX21" i="7" s="1"/>
  <c r="BA21" i="7" s="1"/>
  <c r="BD21" i="7" s="1"/>
  <c r="BG21" i="7" s="1"/>
  <c r="BJ21" i="7" s="1"/>
  <c r="BM21" i="7" s="1"/>
  <c r="BP21" i="7" s="1"/>
  <c r="BS21" i="7" s="1"/>
  <c r="BV21" i="7" s="1"/>
  <c r="BY21" i="7" s="1"/>
  <c r="CB21" i="7" s="1"/>
  <c r="CE21" i="7" s="1"/>
  <c r="CH21" i="7" s="1"/>
  <c r="CK21" i="7" s="1"/>
  <c r="CN21" i="7" s="1"/>
  <c r="CQ21" i="7" s="1"/>
  <c r="CT21" i="7" s="1"/>
  <c r="CW21" i="7" s="1"/>
  <c r="CZ21" i="7" s="1"/>
  <c r="DC21" i="7" s="1"/>
  <c r="DF21" i="7" s="1"/>
  <c r="DI21" i="7" s="1"/>
  <c r="DL21" i="7" s="1"/>
  <c r="DO21" i="7" s="1"/>
  <c r="DR21" i="7" s="1"/>
  <c r="DU21" i="7" s="1"/>
  <c r="DX21" i="7" s="1"/>
  <c r="K20" i="7"/>
  <c r="N20" i="7" s="1"/>
  <c r="Q20" i="7" s="1"/>
  <c r="K19" i="7"/>
  <c r="N19" i="7" s="1"/>
  <c r="Q19" i="7" s="1"/>
  <c r="T19" i="7" s="1"/>
  <c r="W19" i="7" s="1"/>
  <c r="Z19" i="7" s="1"/>
  <c r="AC19" i="7" s="1"/>
  <c r="AF19" i="7" s="1"/>
  <c r="AI19" i="7" s="1"/>
  <c r="AL19" i="7" s="1"/>
  <c r="AO19" i="7" s="1"/>
  <c r="AR19" i="7" s="1"/>
  <c r="AU19" i="7" s="1"/>
  <c r="AX19" i="7" s="1"/>
  <c r="BA19" i="7" s="1"/>
  <c r="BD19" i="7" s="1"/>
  <c r="BG19" i="7" s="1"/>
  <c r="BJ19" i="7" s="1"/>
  <c r="BM19" i="7" s="1"/>
  <c r="BP19" i="7" s="1"/>
  <c r="BS19" i="7" s="1"/>
  <c r="BV19" i="7" s="1"/>
  <c r="BY19" i="7" s="1"/>
  <c r="CB19" i="7" s="1"/>
  <c r="CE19" i="7" s="1"/>
  <c r="CH19" i="7" s="1"/>
  <c r="CK19" i="7" s="1"/>
  <c r="CN19" i="7" s="1"/>
  <c r="CQ19" i="7" s="1"/>
  <c r="CT19" i="7" s="1"/>
  <c r="K18" i="7"/>
  <c r="L18" i="7" s="1"/>
  <c r="K17" i="7"/>
  <c r="L17" i="7" s="1"/>
  <c r="K16" i="7"/>
  <c r="L16" i="7" s="1"/>
  <c r="K15" i="7"/>
  <c r="L15" i="7" s="1"/>
  <c r="K14" i="7"/>
  <c r="N14" i="7" s="1"/>
  <c r="Q14" i="7" s="1"/>
  <c r="T14" i="7" s="1"/>
  <c r="W14" i="7" s="1"/>
  <c r="Z14" i="7" s="1"/>
  <c r="AC14" i="7" s="1"/>
  <c r="AF14" i="7" s="1"/>
  <c r="AI14" i="7" s="1"/>
  <c r="AL14" i="7" s="1"/>
  <c r="AO14" i="7" s="1"/>
  <c r="AR14" i="7" s="1"/>
  <c r="AU14" i="7" s="1"/>
  <c r="AX14" i="7" s="1"/>
  <c r="BA14" i="7" s="1"/>
  <c r="BD14" i="7" s="1"/>
  <c r="BG14" i="7" s="1"/>
  <c r="BJ14" i="7" s="1"/>
  <c r="BM14" i="7" s="1"/>
  <c r="BP14" i="7" s="1"/>
  <c r="BS14" i="7" s="1"/>
  <c r="BV14" i="7" s="1"/>
  <c r="BY14" i="7" s="1"/>
  <c r="CB14" i="7" s="1"/>
  <c r="CE14" i="7" s="1"/>
  <c r="CH14" i="7" s="1"/>
  <c r="CK14" i="7" s="1"/>
  <c r="CN14" i="7" s="1"/>
  <c r="CQ14" i="7" s="1"/>
  <c r="CT14" i="7" s="1"/>
  <c r="CW14" i="7" s="1"/>
  <c r="CZ14" i="7" s="1"/>
  <c r="DC14" i="7" s="1"/>
  <c r="DF14" i="7" s="1"/>
  <c r="DI14" i="7" s="1"/>
  <c r="DL14" i="7" s="1"/>
  <c r="DO14" i="7" s="1"/>
  <c r="DR14" i="7" s="1"/>
  <c r="DU14" i="7" s="1"/>
  <c r="DX14" i="7" s="1"/>
  <c r="K13" i="7"/>
  <c r="L13" i="7" s="1"/>
  <c r="K12" i="7"/>
  <c r="N12" i="7" s="1"/>
  <c r="Q12" i="7" s="1"/>
  <c r="T12" i="7" s="1"/>
  <c r="W12" i="7" s="1"/>
  <c r="Z12" i="7" s="1"/>
  <c r="AC12" i="7" s="1"/>
  <c r="AF12" i="7" s="1"/>
  <c r="AI12" i="7" s="1"/>
  <c r="AL12" i="7" s="1"/>
  <c r="AO12" i="7" s="1"/>
  <c r="AR12" i="7" s="1"/>
  <c r="AU12" i="7" s="1"/>
  <c r="AX12" i="7" s="1"/>
  <c r="BA12" i="7" s="1"/>
  <c r="BD12" i="7" s="1"/>
  <c r="BG12" i="7" s="1"/>
  <c r="BJ12" i="7" s="1"/>
  <c r="BM12" i="7" s="1"/>
  <c r="BP12" i="7" s="1"/>
  <c r="BS12" i="7" s="1"/>
  <c r="BV12" i="7" s="1"/>
  <c r="BY12" i="7" s="1"/>
  <c r="CB12" i="7" s="1"/>
  <c r="CE12" i="7" s="1"/>
  <c r="CH12" i="7" s="1"/>
  <c r="CK12" i="7" s="1"/>
  <c r="CN12" i="7" s="1"/>
  <c r="CQ12" i="7" s="1"/>
  <c r="CT12" i="7" s="1"/>
  <c r="CW12" i="7" s="1"/>
  <c r="CZ12" i="7" s="1"/>
  <c r="DC12" i="7" s="1"/>
  <c r="DF12" i="7" s="1"/>
  <c r="DI12" i="7" s="1"/>
  <c r="DL12" i="7" s="1"/>
  <c r="DO12" i="7" s="1"/>
  <c r="DR12" i="7" s="1"/>
  <c r="DU12" i="7" s="1"/>
  <c r="DX12" i="7" s="1"/>
  <c r="K11" i="7"/>
  <c r="L11" i="7" s="1"/>
  <c r="K10" i="7"/>
  <c r="K9" i="7"/>
  <c r="N9" i="7" s="1"/>
  <c r="Q9" i="7" s="1"/>
  <c r="T9" i="7" s="1"/>
  <c r="W9" i="7" s="1"/>
  <c r="Z9" i="7" s="1"/>
  <c r="AC9" i="7" s="1"/>
  <c r="AF9" i="7" s="1"/>
  <c r="AI9" i="7" s="1"/>
  <c r="AL9" i="7" s="1"/>
  <c r="AO9" i="7" s="1"/>
  <c r="AR9" i="7" s="1"/>
  <c r="AU9" i="7" s="1"/>
  <c r="AX9" i="7" s="1"/>
  <c r="BA9" i="7" s="1"/>
  <c r="BD9" i="7" s="1"/>
  <c r="BG9" i="7" s="1"/>
  <c r="BJ9" i="7" s="1"/>
  <c r="BM9" i="7" s="1"/>
  <c r="BP9" i="7" s="1"/>
  <c r="BS9" i="7" s="1"/>
  <c r="BV9" i="7" s="1"/>
  <c r="BY9" i="7" s="1"/>
  <c r="CB9" i="7" s="1"/>
  <c r="CE9" i="7" s="1"/>
  <c r="CH9" i="7" s="1"/>
  <c r="CK9" i="7" s="1"/>
  <c r="CN9" i="7" s="1"/>
  <c r="CQ9" i="7" s="1"/>
  <c r="CT9" i="7" s="1"/>
  <c r="CW9" i="7" s="1"/>
  <c r="CZ9" i="7" s="1"/>
  <c r="DC9" i="7" s="1"/>
  <c r="DF9" i="7" s="1"/>
  <c r="DI9" i="7" s="1"/>
  <c r="DL9" i="7" s="1"/>
  <c r="DO9" i="7" s="1"/>
  <c r="DR9" i="7" s="1"/>
  <c r="DU9" i="7" s="1"/>
  <c r="DX9" i="7" s="1"/>
  <c r="K8" i="7"/>
  <c r="N8" i="7" s="1"/>
  <c r="Q8" i="7" s="1"/>
  <c r="T8" i="7" s="1"/>
  <c r="W8" i="7" s="1"/>
  <c r="Z8" i="7" s="1"/>
  <c r="AC8" i="7" s="1"/>
  <c r="AF8" i="7" s="1"/>
  <c r="AI8" i="7" s="1"/>
  <c r="AL8" i="7" s="1"/>
  <c r="AO8" i="7" s="1"/>
  <c r="AR8" i="7" s="1"/>
  <c r="AU8" i="7" s="1"/>
  <c r="AX8" i="7" s="1"/>
  <c r="BA8" i="7" s="1"/>
  <c r="BD8" i="7" s="1"/>
  <c r="BG8" i="7" s="1"/>
  <c r="BJ8" i="7" s="1"/>
  <c r="BM8" i="7" s="1"/>
  <c r="BP8" i="7" s="1"/>
  <c r="BS8" i="7" s="1"/>
  <c r="BV8" i="7" s="1"/>
  <c r="BY8" i="7" s="1"/>
  <c r="CB8" i="7" s="1"/>
  <c r="CE8" i="7" s="1"/>
  <c r="CH8" i="7" s="1"/>
  <c r="CK8" i="7" s="1"/>
  <c r="CN8" i="7" s="1"/>
  <c r="CQ8" i="7" s="1"/>
  <c r="CT8" i="7" s="1"/>
  <c r="CW8" i="7" s="1"/>
  <c r="CZ8" i="7" s="1"/>
  <c r="DC8" i="7" s="1"/>
  <c r="DF8" i="7" s="1"/>
  <c r="DI8" i="7" s="1"/>
  <c r="DL8" i="7" s="1"/>
  <c r="DO8" i="7" s="1"/>
  <c r="DR8" i="7" s="1"/>
  <c r="DU8" i="7" s="1"/>
  <c r="DX8" i="7" s="1"/>
  <c r="K7" i="7"/>
  <c r="L7" i="7" s="1"/>
  <c r="K6" i="7"/>
  <c r="N6" i="7" s="1"/>
  <c r="Q6" i="7" s="1"/>
  <c r="T6" i="7" s="1"/>
  <c r="W6" i="7" s="1"/>
  <c r="Z6" i="7" s="1"/>
  <c r="AC6" i="7" s="1"/>
  <c r="AF6" i="7" s="1"/>
  <c r="AI6" i="7" s="1"/>
  <c r="AL6" i="7" s="1"/>
  <c r="AO6" i="7" s="1"/>
  <c r="AR6" i="7" s="1"/>
  <c r="AU6" i="7" s="1"/>
  <c r="AX6" i="7" s="1"/>
  <c r="BA6" i="7" s="1"/>
  <c r="BD6" i="7" s="1"/>
  <c r="BG6" i="7" s="1"/>
  <c r="BJ6" i="7" s="1"/>
  <c r="BM6" i="7" s="1"/>
  <c r="BP6" i="7" s="1"/>
  <c r="BS6" i="7" s="1"/>
  <c r="BV6" i="7" s="1"/>
  <c r="BY6" i="7" s="1"/>
  <c r="CB6" i="7" s="1"/>
  <c r="CE6" i="7" s="1"/>
  <c r="CH6" i="7" s="1"/>
  <c r="CK6" i="7" s="1"/>
  <c r="CN6" i="7" s="1"/>
  <c r="CQ6" i="7" s="1"/>
  <c r="CT6" i="7" s="1"/>
  <c r="CW6" i="7" s="1"/>
  <c r="CZ6" i="7" s="1"/>
  <c r="DC6" i="7" s="1"/>
  <c r="DF6" i="7" s="1"/>
  <c r="DI6" i="7" s="1"/>
  <c r="DL6" i="7" s="1"/>
  <c r="DO6" i="7" s="1"/>
  <c r="DR6" i="7" s="1"/>
  <c r="DU6" i="7" s="1"/>
  <c r="DX6" i="7" s="1"/>
  <c r="K5" i="7"/>
  <c r="N5" i="7" s="1"/>
  <c r="E2" i="6"/>
  <c r="D2" i="6" s="1"/>
  <c r="D3" i="6"/>
  <c r="I6" i="6" s="1"/>
  <c r="J1" i="7"/>
  <c r="M1" i="7" s="1"/>
  <c r="F20" i="8" s="1"/>
  <c r="O61" i="7"/>
  <c r="R61" i="7" s="1"/>
  <c r="U61" i="7" s="1"/>
  <c r="X61" i="7" s="1"/>
  <c r="AA61" i="7" s="1"/>
  <c r="AD61" i="7" s="1"/>
  <c r="AG61" i="7" s="1"/>
  <c r="AJ61" i="7" s="1"/>
  <c r="AM61" i="7" s="1"/>
  <c r="AP61" i="7" s="1"/>
  <c r="AS61" i="7" s="1"/>
  <c r="AV61" i="7" s="1"/>
  <c r="AY61" i="7" s="1"/>
  <c r="BB61" i="7" s="1"/>
  <c r="BE61" i="7" s="1"/>
  <c r="BH61" i="7" s="1"/>
  <c r="BK61" i="7" s="1"/>
  <c r="BN61" i="7" s="1"/>
  <c r="BQ61" i="7" s="1"/>
  <c r="BT61" i="7" s="1"/>
  <c r="BW61" i="7" s="1"/>
  <c r="BZ61" i="7" s="1"/>
  <c r="CC61" i="7" s="1"/>
  <c r="CF61" i="7" s="1"/>
  <c r="CI61" i="7" s="1"/>
  <c r="CL61" i="7" s="1"/>
  <c r="CO61" i="7" s="1"/>
  <c r="CR61" i="7" s="1"/>
  <c r="CU61" i="7" s="1"/>
  <c r="CX61" i="7" s="1"/>
  <c r="DA61" i="7" s="1"/>
  <c r="DD61" i="7" s="1"/>
  <c r="DG61" i="7" s="1"/>
  <c r="DJ61" i="7" s="1"/>
  <c r="DM61" i="7" s="1"/>
  <c r="DP61" i="7" s="1"/>
  <c r="DS61" i="7" s="1"/>
  <c r="DV61" i="7" s="1"/>
  <c r="DY61" i="7" s="1"/>
  <c r="Y65" i="7"/>
  <c r="AB65" i="7"/>
  <c r="AE65" i="7"/>
  <c r="AH65" i="7"/>
  <c r="AK65" i="7"/>
  <c r="AN65" i="7"/>
  <c r="AQ65" i="7"/>
  <c r="AT65" i="7"/>
  <c r="AW65" i="7"/>
  <c r="AZ65" i="7"/>
  <c r="BC65" i="7"/>
  <c r="BF65" i="7"/>
  <c r="BI65" i="7"/>
  <c r="BL65" i="7"/>
  <c r="BO65" i="7"/>
  <c r="BR65" i="7"/>
  <c r="BU65" i="7"/>
  <c r="BX65" i="7"/>
  <c r="CA65" i="7"/>
  <c r="CD65" i="7"/>
  <c r="CG65" i="7"/>
  <c r="CJ65" i="7"/>
  <c r="CM65" i="7"/>
  <c r="CP65" i="7"/>
  <c r="CS65" i="7"/>
  <c r="J65" i="7"/>
  <c r="A19" i="8"/>
  <c r="EA60" i="7"/>
  <c r="I65" i="7"/>
  <c r="M65" i="7"/>
  <c r="P65" i="7"/>
  <c r="S65" i="7"/>
  <c r="V65" i="7"/>
  <c r="CV65" i="7"/>
  <c r="CY65" i="7"/>
  <c r="DB65" i="7"/>
  <c r="DE65" i="7"/>
  <c r="DH65" i="7"/>
  <c r="DK65" i="7"/>
  <c r="DN65" i="7"/>
  <c r="DQ65" i="7"/>
  <c r="DT65" i="7"/>
  <c r="DW65" i="7"/>
  <c r="N48" i="7"/>
  <c r="Q48" i="7" s="1"/>
  <c r="T48" i="7" s="1"/>
  <c r="W48" i="7" s="1"/>
  <c r="Z48" i="7" s="1"/>
  <c r="AC48" i="7" s="1"/>
  <c r="AF48" i="7" s="1"/>
  <c r="AI48" i="7" s="1"/>
  <c r="AL48" i="7" s="1"/>
  <c r="AO48" i="7" s="1"/>
  <c r="AR48" i="7" s="1"/>
  <c r="AU48" i="7" s="1"/>
  <c r="AX48" i="7" s="1"/>
  <c r="BA48" i="7" s="1"/>
  <c r="BD48" i="7" s="1"/>
  <c r="BG48" i="7" s="1"/>
  <c r="BJ48" i="7" s="1"/>
  <c r="BM48" i="7" s="1"/>
  <c r="BP48" i="7" s="1"/>
  <c r="BS48" i="7" s="1"/>
  <c r="BV48" i="7" s="1"/>
  <c r="BY48" i="7" s="1"/>
  <c r="CB48" i="7" s="1"/>
  <c r="CE48" i="7" s="1"/>
  <c r="CH48" i="7" s="1"/>
  <c r="CK48" i="7" s="1"/>
  <c r="CN48" i="7" s="1"/>
  <c r="CQ48" i="7" s="1"/>
  <c r="CT48" i="7" s="1"/>
  <c r="CW48" i="7" s="1"/>
  <c r="CZ48" i="7" s="1"/>
  <c r="DC48" i="7" s="1"/>
  <c r="DF48" i="7" s="1"/>
  <c r="DI48" i="7" s="1"/>
  <c r="DL48" i="7" s="1"/>
  <c r="DO48" i="7" s="1"/>
  <c r="DR48" i="7" s="1"/>
  <c r="DU48" i="7" s="1"/>
  <c r="DX48" i="7" s="1"/>
  <c r="N58" i="7"/>
  <c r="Q58" i="7" s="1"/>
  <c r="T58" i="7" s="1"/>
  <c r="W58" i="7" s="1"/>
  <c r="Z58" i="7" s="1"/>
  <c r="AC58" i="7" s="1"/>
  <c r="AF58" i="7" s="1"/>
  <c r="AI58" i="7" s="1"/>
  <c r="AL58" i="7" s="1"/>
  <c r="AO58" i="7" s="1"/>
  <c r="AR58" i="7" s="1"/>
  <c r="AU58" i="7" s="1"/>
  <c r="AX58" i="7" s="1"/>
  <c r="BA58" i="7" s="1"/>
  <c r="BD58" i="7" s="1"/>
  <c r="BG58" i="7" s="1"/>
  <c r="BJ58" i="7" s="1"/>
  <c r="BM58" i="7" s="1"/>
  <c r="BP58" i="7" s="1"/>
  <c r="BS58" i="7" s="1"/>
  <c r="BV58" i="7" s="1"/>
  <c r="BY58" i="7" s="1"/>
  <c r="CB58" i="7" s="1"/>
  <c r="CE58" i="7" s="1"/>
  <c r="CH58" i="7" s="1"/>
  <c r="CK58" i="7" s="1"/>
  <c r="CN58" i="7" s="1"/>
  <c r="CQ58" i="7" s="1"/>
  <c r="CT58" i="7" s="1"/>
  <c r="CW58" i="7" s="1"/>
  <c r="CZ58" i="7" s="1"/>
  <c r="DC58" i="7" s="1"/>
  <c r="DF58" i="7" s="1"/>
  <c r="DI58" i="7" s="1"/>
  <c r="DL58" i="7" s="1"/>
  <c r="DO58" i="7" s="1"/>
  <c r="DR58" i="7" s="1"/>
  <c r="DU58" i="7" s="1"/>
  <c r="DX58" i="7" s="1"/>
  <c r="L9" i="7"/>
  <c r="N13" i="7"/>
  <c r="Q13" i="7" s="1"/>
  <c r="T13" i="7" s="1"/>
  <c r="W13" i="7" s="1"/>
  <c r="Z13" i="7" s="1"/>
  <c r="AC13" i="7" s="1"/>
  <c r="AF13" i="7" s="1"/>
  <c r="AI13" i="7" s="1"/>
  <c r="AL13" i="7" s="1"/>
  <c r="AO13" i="7" s="1"/>
  <c r="AR13" i="7" s="1"/>
  <c r="AU13" i="7" s="1"/>
  <c r="AX13" i="7" s="1"/>
  <c r="BA13" i="7" s="1"/>
  <c r="BD13" i="7" s="1"/>
  <c r="BG13" i="7" s="1"/>
  <c r="BJ13" i="7" s="1"/>
  <c r="BM13" i="7" s="1"/>
  <c r="BP13" i="7" s="1"/>
  <c r="BS13" i="7" s="1"/>
  <c r="BV13" i="7" s="1"/>
  <c r="BY13" i="7" s="1"/>
  <c r="CB13" i="7" s="1"/>
  <c r="CE13" i="7" s="1"/>
  <c r="CH13" i="7" s="1"/>
  <c r="CK13" i="7" s="1"/>
  <c r="CN13" i="7" s="1"/>
  <c r="CQ13" i="7" s="1"/>
  <c r="CT13" i="7" s="1"/>
  <c r="CW13" i="7" s="1"/>
  <c r="CZ13" i="7" s="1"/>
  <c r="DC13" i="7" s="1"/>
  <c r="DF13" i="7" s="1"/>
  <c r="DI13" i="7" s="1"/>
  <c r="DL13" i="7" s="1"/>
  <c r="DO13" i="7" s="1"/>
  <c r="DR13" i="7" s="1"/>
  <c r="DU13" i="7" s="1"/>
  <c r="DX13" i="7" s="1"/>
  <c r="N18" i="7"/>
  <c r="Q18" i="7" s="1"/>
  <c r="T18" i="7" s="1"/>
  <c r="W18" i="7" s="1"/>
  <c r="Z18" i="7" s="1"/>
  <c r="AC18" i="7" s="1"/>
  <c r="AF18" i="7" s="1"/>
  <c r="AI18" i="7" s="1"/>
  <c r="AL18" i="7" s="1"/>
  <c r="AO18" i="7" s="1"/>
  <c r="AR18" i="7" s="1"/>
  <c r="AU18" i="7" s="1"/>
  <c r="AX18" i="7" s="1"/>
  <c r="BA18" i="7" s="1"/>
  <c r="BD18" i="7" s="1"/>
  <c r="BG18" i="7" s="1"/>
  <c r="BJ18" i="7" s="1"/>
  <c r="BM18" i="7" s="1"/>
  <c r="BP18" i="7" s="1"/>
  <c r="BS18" i="7" s="1"/>
  <c r="BV18" i="7" s="1"/>
  <c r="BY18" i="7" s="1"/>
  <c r="CB18" i="7" s="1"/>
  <c r="CE18" i="7" s="1"/>
  <c r="CH18" i="7" s="1"/>
  <c r="CK18" i="7" s="1"/>
  <c r="CN18" i="7" s="1"/>
  <c r="CQ18" i="7" s="1"/>
  <c r="CT18" i="7" s="1"/>
  <c r="N27" i="7"/>
  <c r="Q27" i="7" s="1"/>
  <c r="T27" i="7" s="1"/>
  <c r="W27" i="7" s="1"/>
  <c r="Z27" i="7" s="1"/>
  <c r="AC27" i="7" s="1"/>
  <c r="AF27" i="7" s="1"/>
  <c r="AI27" i="7" s="1"/>
  <c r="AL27" i="7" s="1"/>
  <c r="AO27" i="7" s="1"/>
  <c r="AR27" i="7" s="1"/>
  <c r="AU27" i="7" s="1"/>
  <c r="AX27" i="7" s="1"/>
  <c r="BA27" i="7" s="1"/>
  <c r="BD27" i="7" s="1"/>
  <c r="BG27" i="7" s="1"/>
  <c r="BJ27" i="7" s="1"/>
  <c r="BM27" i="7" s="1"/>
  <c r="BP27" i="7" s="1"/>
  <c r="BS27" i="7" s="1"/>
  <c r="BV27" i="7" s="1"/>
  <c r="BY27" i="7" s="1"/>
  <c r="CB27" i="7" s="1"/>
  <c r="CE27" i="7" s="1"/>
  <c r="CH27" i="7" s="1"/>
  <c r="CK27" i="7" s="1"/>
  <c r="CN27" i="7" s="1"/>
  <c r="CQ27" i="7" s="1"/>
  <c r="CT27" i="7" s="1"/>
  <c r="CW27" i="7" s="1"/>
  <c r="CZ27" i="7" s="1"/>
  <c r="DC27" i="7" s="1"/>
  <c r="DF27" i="7" s="1"/>
  <c r="DI27" i="7" s="1"/>
  <c r="DL27" i="7" s="1"/>
  <c r="DO27" i="7" s="1"/>
  <c r="DR27" i="7" s="1"/>
  <c r="DU27" i="7" s="1"/>
  <c r="DX27" i="7" s="1"/>
  <c r="N38" i="7"/>
  <c r="Q38" i="7" s="1"/>
  <c r="T38" i="7" s="1"/>
  <c r="W38" i="7" s="1"/>
  <c r="Z38" i="7" s="1"/>
  <c r="AC38" i="7" s="1"/>
  <c r="AF38" i="7" s="1"/>
  <c r="AI38" i="7" s="1"/>
  <c r="AL38" i="7" s="1"/>
  <c r="AO38" i="7" s="1"/>
  <c r="AR38" i="7" s="1"/>
  <c r="AU38" i="7" s="1"/>
  <c r="AX38" i="7" s="1"/>
  <c r="BA38" i="7" s="1"/>
  <c r="BD38" i="7" s="1"/>
  <c r="BG38" i="7" s="1"/>
  <c r="BJ38" i="7" s="1"/>
  <c r="BM38" i="7" s="1"/>
  <c r="BP38" i="7" s="1"/>
  <c r="BS38" i="7" s="1"/>
  <c r="BV38" i="7" s="1"/>
  <c r="BY38" i="7" s="1"/>
  <c r="CB38" i="7" s="1"/>
  <c r="CE38" i="7" s="1"/>
  <c r="CH38" i="7" s="1"/>
  <c r="CK38" i="7" s="1"/>
  <c r="CN38" i="7" s="1"/>
  <c r="CQ38" i="7" s="1"/>
  <c r="CT38" i="7" s="1"/>
  <c r="CW38" i="7" s="1"/>
  <c r="CZ38" i="7" s="1"/>
  <c r="DC38" i="7" s="1"/>
  <c r="DF38" i="7" s="1"/>
  <c r="DI38" i="7" s="1"/>
  <c r="DL38" i="7" s="1"/>
  <c r="DO38" i="7" s="1"/>
  <c r="DR38" i="7" s="1"/>
  <c r="DU38" i="7" s="1"/>
  <c r="DX38" i="7" s="1"/>
  <c r="N35" i="7"/>
  <c r="Q35" i="7" s="1"/>
  <c r="T35" i="7" s="1"/>
  <c r="W35" i="7" s="1"/>
  <c r="Z35" i="7" s="1"/>
  <c r="AC35" i="7" s="1"/>
  <c r="AF35" i="7" s="1"/>
  <c r="AI35" i="7" s="1"/>
  <c r="AL35" i="7" s="1"/>
  <c r="AO35" i="7" s="1"/>
  <c r="AR35" i="7" s="1"/>
  <c r="AU35" i="7" s="1"/>
  <c r="AX35" i="7" s="1"/>
  <c r="BA35" i="7" s="1"/>
  <c r="BD35" i="7" s="1"/>
  <c r="BG35" i="7" s="1"/>
  <c r="BJ35" i="7" s="1"/>
  <c r="BM35" i="7" s="1"/>
  <c r="BP35" i="7" s="1"/>
  <c r="BS35" i="7" s="1"/>
  <c r="BV35" i="7" s="1"/>
  <c r="BY35" i="7" s="1"/>
  <c r="CB35" i="7" s="1"/>
  <c r="CE35" i="7" s="1"/>
  <c r="CH35" i="7" s="1"/>
  <c r="CK35" i="7" s="1"/>
  <c r="CN35" i="7" s="1"/>
  <c r="CQ35" i="7" s="1"/>
  <c r="CT35" i="7" s="1"/>
  <c r="CW35" i="7" s="1"/>
  <c r="CZ35" i="7" s="1"/>
  <c r="DC35" i="7" s="1"/>
  <c r="DF35" i="7" s="1"/>
  <c r="DI35" i="7" s="1"/>
  <c r="DL35" i="7" s="1"/>
  <c r="DO35" i="7" s="1"/>
  <c r="DR35" i="7" s="1"/>
  <c r="DU35" i="7" s="1"/>
  <c r="DX35" i="7" s="1"/>
  <c r="L21" i="7"/>
  <c r="N29" i="7"/>
  <c r="Q29" i="7" s="1"/>
  <c r="T29" i="7" s="1"/>
  <c r="W29" i="7" s="1"/>
  <c r="Z29" i="7" s="1"/>
  <c r="AC29" i="7" s="1"/>
  <c r="AF29" i="7" s="1"/>
  <c r="AI29" i="7" s="1"/>
  <c r="AL29" i="7" s="1"/>
  <c r="AO29" i="7" s="1"/>
  <c r="AR29" i="7" s="1"/>
  <c r="AU29" i="7" s="1"/>
  <c r="AX29" i="7" s="1"/>
  <c r="BA29" i="7" s="1"/>
  <c r="BD29" i="7" s="1"/>
  <c r="BG29" i="7" s="1"/>
  <c r="BJ29" i="7" s="1"/>
  <c r="BM29" i="7" s="1"/>
  <c r="BP29" i="7" s="1"/>
  <c r="BS29" i="7" s="1"/>
  <c r="BV29" i="7" s="1"/>
  <c r="BY29" i="7" s="1"/>
  <c r="CB29" i="7" s="1"/>
  <c r="CE29" i="7" s="1"/>
  <c r="CH29" i="7" s="1"/>
  <c r="CK29" i="7" s="1"/>
  <c r="CN29" i="7" s="1"/>
  <c r="CQ29" i="7" s="1"/>
  <c r="CT29" i="7" s="1"/>
  <c r="CW29" i="7" s="1"/>
  <c r="CZ29" i="7" s="1"/>
  <c r="DC29" i="7" s="1"/>
  <c r="DF29" i="7" s="1"/>
  <c r="DI29" i="7" s="1"/>
  <c r="DL29" i="7" s="1"/>
  <c r="DO29" i="7" s="1"/>
  <c r="DR29" i="7" s="1"/>
  <c r="DU29" i="7" s="1"/>
  <c r="DX29" i="7" s="1"/>
  <c r="N37" i="7"/>
  <c r="Q37" i="7" s="1"/>
  <c r="L19" i="7" l="1"/>
  <c r="L6" i="7"/>
  <c r="O6" i="7" s="1"/>
  <c r="L5" i="7"/>
  <c r="N4" i="7"/>
  <c r="Q4" i="7" s="1"/>
  <c r="T4" i="7" s="1"/>
  <c r="W4" i="7" s="1"/>
  <c r="Z4" i="7" s="1"/>
  <c r="AC4" i="7" s="1"/>
  <c r="AF4" i="7" s="1"/>
  <c r="AI4" i="7" s="1"/>
  <c r="AL4" i="7" s="1"/>
  <c r="AO4" i="7" s="1"/>
  <c r="AR4" i="7" s="1"/>
  <c r="AU4" i="7" s="1"/>
  <c r="AX4" i="7" s="1"/>
  <c r="BA4" i="7" s="1"/>
  <c r="BD4" i="7" s="1"/>
  <c r="BG4" i="7" s="1"/>
  <c r="BJ4" i="7" s="1"/>
  <c r="BM4" i="7" s="1"/>
  <c r="BP4" i="7" s="1"/>
  <c r="BS4" i="7" s="1"/>
  <c r="BV4" i="7" s="1"/>
  <c r="BY4" i="7" s="1"/>
  <c r="CB4" i="7" s="1"/>
  <c r="CE4" i="7" s="1"/>
  <c r="CH4" i="7" s="1"/>
  <c r="CK4" i="7" s="1"/>
  <c r="CN4" i="7" s="1"/>
  <c r="CQ4" i="7" s="1"/>
  <c r="CT4" i="7" s="1"/>
  <c r="L34" i="7"/>
  <c r="N25" i="7"/>
  <c r="Q25" i="7" s="1"/>
  <c r="T25" i="7" s="1"/>
  <c r="W25" i="7" s="1"/>
  <c r="Z25" i="7" s="1"/>
  <c r="AC25" i="7" s="1"/>
  <c r="AF25" i="7" s="1"/>
  <c r="AI25" i="7" s="1"/>
  <c r="AL25" i="7" s="1"/>
  <c r="AO25" i="7" s="1"/>
  <c r="AR25" i="7" s="1"/>
  <c r="AU25" i="7" s="1"/>
  <c r="AX25" i="7" s="1"/>
  <c r="BA25" i="7" s="1"/>
  <c r="BD25" i="7" s="1"/>
  <c r="BG25" i="7" s="1"/>
  <c r="BJ25" i="7" s="1"/>
  <c r="BM25" i="7" s="1"/>
  <c r="BP25" i="7" s="1"/>
  <c r="BS25" i="7" s="1"/>
  <c r="BV25" i="7" s="1"/>
  <c r="BY25" i="7" s="1"/>
  <c r="CB25" i="7" s="1"/>
  <c r="CE25" i="7" s="1"/>
  <c r="CH25" i="7" s="1"/>
  <c r="CK25" i="7" s="1"/>
  <c r="CN25" i="7" s="1"/>
  <c r="CQ25" i="7" s="1"/>
  <c r="CT25" i="7" s="1"/>
  <c r="CW25" i="7" s="1"/>
  <c r="CZ25" i="7" s="1"/>
  <c r="DC25" i="7" s="1"/>
  <c r="DF25" i="7" s="1"/>
  <c r="DI25" i="7" s="1"/>
  <c r="DL25" i="7" s="1"/>
  <c r="DO25" i="7" s="1"/>
  <c r="DR25" i="7" s="1"/>
  <c r="DU25" i="7" s="1"/>
  <c r="DX25" i="7" s="1"/>
  <c r="L12" i="7"/>
  <c r="L8" i="7"/>
  <c r="O48" i="7"/>
  <c r="L36" i="7"/>
  <c r="N11" i="7"/>
  <c r="Q11" i="7" s="1"/>
  <c r="T11" i="7" s="1"/>
  <c r="W11" i="7" s="1"/>
  <c r="Z11" i="7" s="1"/>
  <c r="AC11" i="7" s="1"/>
  <c r="AF11" i="7" s="1"/>
  <c r="AI11" i="7" s="1"/>
  <c r="AL11" i="7" s="1"/>
  <c r="AO11" i="7" s="1"/>
  <c r="AR11" i="7" s="1"/>
  <c r="AU11" i="7" s="1"/>
  <c r="AX11" i="7" s="1"/>
  <c r="BA11" i="7" s="1"/>
  <c r="BD11" i="7" s="1"/>
  <c r="BG11" i="7" s="1"/>
  <c r="BJ11" i="7" s="1"/>
  <c r="BM11" i="7" s="1"/>
  <c r="BP11" i="7" s="1"/>
  <c r="BS11" i="7" s="1"/>
  <c r="BV11" i="7" s="1"/>
  <c r="BY11" i="7" s="1"/>
  <c r="CB11" i="7" s="1"/>
  <c r="CE11" i="7" s="1"/>
  <c r="CH11" i="7" s="1"/>
  <c r="CK11" i="7" s="1"/>
  <c r="CN11" i="7" s="1"/>
  <c r="CQ11" i="7" s="1"/>
  <c r="CT11" i="7" s="1"/>
  <c r="CW11" i="7" s="1"/>
  <c r="CZ11" i="7" s="1"/>
  <c r="DC11" i="7" s="1"/>
  <c r="DF11" i="7" s="1"/>
  <c r="DI11" i="7" s="1"/>
  <c r="DL11" i="7" s="1"/>
  <c r="DO11" i="7" s="1"/>
  <c r="DR11" i="7" s="1"/>
  <c r="DU11" i="7" s="1"/>
  <c r="DX11" i="7" s="1"/>
  <c r="L20" i="7"/>
  <c r="O20" i="7" s="1"/>
  <c r="L28" i="7"/>
  <c r="L53" i="7"/>
  <c r="L57" i="7"/>
  <c r="O5" i="7"/>
  <c r="R48" i="7"/>
  <c r="U48" i="7" s="1"/>
  <c r="O4" i="7"/>
  <c r="R4" i="7" s="1"/>
  <c r="N28" i="7"/>
  <c r="Q28" i="7" s="1"/>
  <c r="T28" i="7" s="1"/>
  <c r="W28" i="7" s="1"/>
  <c r="Z28" i="7" s="1"/>
  <c r="AC28" i="7" s="1"/>
  <c r="AF28" i="7" s="1"/>
  <c r="AI28" i="7" s="1"/>
  <c r="AL28" i="7" s="1"/>
  <c r="AO28" i="7" s="1"/>
  <c r="AR28" i="7" s="1"/>
  <c r="AU28" i="7" s="1"/>
  <c r="AX28" i="7" s="1"/>
  <c r="BA28" i="7" s="1"/>
  <c r="BD28" i="7" s="1"/>
  <c r="BG28" i="7" s="1"/>
  <c r="BJ28" i="7" s="1"/>
  <c r="BM28" i="7" s="1"/>
  <c r="BP28" i="7" s="1"/>
  <c r="BS28" i="7" s="1"/>
  <c r="BV28" i="7" s="1"/>
  <c r="BY28" i="7" s="1"/>
  <c r="CB28" i="7" s="1"/>
  <c r="CE28" i="7" s="1"/>
  <c r="CH28" i="7" s="1"/>
  <c r="CK28" i="7" s="1"/>
  <c r="CN28" i="7" s="1"/>
  <c r="CQ28" i="7" s="1"/>
  <c r="CT28" i="7" s="1"/>
  <c r="CW28" i="7" s="1"/>
  <c r="CZ28" i="7" s="1"/>
  <c r="DC28" i="7" s="1"/>
  <c r="DF28" i="7" s="1"/>
  <c r="DI28" i="7" s="1"/>
  <c r="DL28" i="7" s="1"/>
  <c r="DO28" i="7" s="1"/>
  <c r="DR28" i="7" s="1"/>
  <c r="DU28" i="7" s="1"/>
  <c r="DX28" i="7" s="1"/>
  <c r="N51" i="7"/>
  <c r="Q51" i="7" s="1"/>
  <c r="T51" i="7" s="1"/>
  <c r="W51" i="7" s="1"/>
  <c r="Z51" i="7" s="1"/>
  <c r="AC51" i="7" s="1"/>
  <c r="AF51" i="7" s="1"/>
  <c r="AI51" i="7" s="1"/>
  <c r="AL51" i="7" s="1"/>
  <c r="AO51" i="7" s="1"/>
  <c r="AR51" i="7" s="1"/>
  <c r="AU51" i="7" s="1"/>
  <c r="AX51" i="7" s="1"/>
  <c r="BA51" i="7" s="1"/>
  <c r="BD51" i="7" s="1"/>
  <c r="BG51" i="7" s="1"/>
  <c r="BJ51" i="7" s="1"/>
  <c r="BM51" i="7" s="1"/>
  <c r="BP51" i="7" s="1"/>
  <c r="BS51" i="7" s="1"/>
  <c r="BV51" i="7" s="1"/>
  <c r="BY51" i="7" s="1"/>
  <c r="CB51" i="7" s="1"/>
  <c r="CE51" i="7" s="1"/>
  <c r="CH51" i="7" s="1"/>
  <c r="CK51" i="7" s="1"/>
  <c r="CN51" i="7" s="1"/>
  <c r="CQ51" i="7" s="1"/>
  <c r="CT51" i="7" s="1"/>
  <c r="CW51" i="7" s="1"/>
  <c r="CZ51" i="7" s="1"/>
  <c r="DC51" i="7" s="1"/>
  <c r="DF51" i="7" s="1"/>
  <c r="DI51" i="7" s="1"/>
  <c r="DL51" i="7" s="1"/>
  <c r="DO51" i="7" s="1"/>
  <c r="DR51" i="7" s="1"/>
  <c r="DU51" i="7" s="1"/>
  <c r="DX51" i="7" s="1"/>
  <c r="O9" i="7"/>
  <c r="R9" i="7" s="1"/>
  <c r="U9" i="7" s="1"/>
  <c r="O35" i="7"/>
  <c r="K65" i="7"/>
  <c r="O58" i="7"/>
  <c r="R58" i="7" s="1"/>
  <c r="N23" i="7"/>
  <c r="Q23" i="7" s="1"/>
  <c r="T23" i="7" s="1"/>
  <c r="W23" i="7" s="1"/>
  <c r="Z23" i="7" s="1"/>
  <c r="AC23" i="7" s="1"/>
  <c r="AF23" i="7" s="1"/>
  <c r="AI23" i="7" s="1"/>
  <c r="AL23" i="7" s="1"/>
  <c r="AO23" i="7" s="1"/>
  <c r="AR23" i="7" s="1"/>
  <c r="AU23" i="7" s="1"/>
  <c r="AX23" i="7" s="1"/>
  <c r="BA23" i="7" s="1"/>
  <c r="BD23" i="7" s="1"/>
  <c r="BG23" i="7" s="1"/>
  <c r="BJ23" i="7" s="1"/>
  <c r="BM23" i="7" s="1"/>
  <c r="BP23" i="7" s="1"/>
  <c r="BS23" i="7" s="1"/>
  <c r="BV23" i="7" s="1"/>
  <c r="BY23" i="7" s="1"/>
  <c r="CB23" i="7" s="1"/>
  <c r="CE23" i="7" s="1"/>
  <c r="CH23" i="7" s="1"/>
  <c r="CK23" i="7" s="1"/>
  <c r="CN23" i="7" s="1"/>
  <c r="CQ23" i="7" s="1"/>
  <c r="CT23" i="7" s="1"/>
  <c r="CW23" i="7" s="1"/>
  <c r="CZ23" i="7" s="1"/>
  <c r="DC23" i="7" s="1"/>
  <c r="DF23" i="7" s="1"/>
  <c r="DI23" i="7" s="1"/>
  <c r="DL23" i="7" s="1"/>
  <c r="DO23" i="7" s="1"/>
  <c r="DR23" i="7" s="1"/>
  <c r="DU23" i="7" s="1"/>
  <c r="DX23" i="7" s="1"/>
  <c r="N7" i="7"/>
  <c r="Q7" i="7" s="1"/>
  <c r="T7" i="7" s="1"/>
  <c r="W7" i="7" s="1"/>
  <c r="Z7" i="7" s="1"/>
  <c r="AC7" i="7" s="1"/>
  <c r="AF7" i="7" s="1"/>
  <c r="AI7" i="7" s="1"/>
  <c r="AL7" i="7" s="1"/>
  <c r="AO7" i="7" s="1"/>
  <c r="AR7" i="7" s="1"/>
  <c r="AU7" i="7" s="1"/>
  <c r="AX7" i="7" s="1"/>
  <c r="BA7" i="7" s="1"/>
  <c r="BD7" i="7" s="1"/>
  <c r="BG7" i="7" s="1"/>
  <c r="BJ7" i="7" s="1"/>
  <c r="BM7" i="7" s="1"/>
  <c r="BP7" i="7" s="1"/>
  <c r="BS7" i="7" s="1"/>
  <c r="BV7" i="7" s="1"/>
  <c r="BY7" i="7" s="1"/>
  <c r="CB7" i="7" s="1"/>
  <c r="CE7" i="7" s="1"/>
  <c r="CH7" i="7" s="1"/>
  <c r="CK7" i="7" s="1"/>
  <c r="CN7" i="7" s="1"/>
  <c r="CQ7" i="7" s="1"/>
  <c r="CT7" i="7" s="1"/>
  <c r="CW7" i="7" s="1"/>
  <c r="CZ7" i="7" s="1"/>
  <c r="DC7" i="7" s="1"/>
  <c r="DF7" i="7" s="1"/>
  <c r="DI7" i="7" s="1"/>
  <c r="DL7" i="7" s="1"/>
  <c r="DO7" i="7" s="1"/>
  <c r="DR7" i="7" s="1"/>
  <c r="DU7" i="7" s="1"/>
  <c r="DX7" i="7" s="1"/>
  <c r="N55" i="7"/>
  <c r="Q55" i="7" s="1"/>
  <c r="T55" i="7" s="1"/>
  <c r="W55" i="7" s="1"/>
  <c r="Z55" i="7" s="1"/>
  <c r="AC55" i="7" s="1"/>
  <c r="AF55" i="7" s="1"/>
  <c r="AI55" i="7" s="1"/>
  <c r="AL55" i="7" s="1"/>
  <c r="AO55" i="7" s="1"/>
  <c r="AR55" i="7" s="1"/>
  <c r="AU55" i="7" s="1"/>
  <c r="AX55" i="7" s="1"/>
  <c r="BA55" i="7" s="1"/>
  <c r="BD55" i="7" s="1"/>
  <c r="BG55" i="7" s="1"/>
  <c r="BJ55" i="7" s="1"/>
  <c r="BM55" i="7" s="1"/>
  <c r="BP55" i="7" s="1"/>
  <c r="BS55" i="7" s="1"/>
  <c r="BV55" i="7" s="1"/>
  <c r="BY55" i="7" s="1"/>
  <c r="CB55" i="7" s="1"/>
  <c r="CE55" i="7" s="1"/>
  <c r="CH55" i="7" s="1"/>
  <c r="CK55" i="7" s="1"/>
  <c r="CN55" i="7" s="1"/>
  <c r="CQ55" i="7" s="1"/>
  <c r="CT55" i="7" s="1"/>
  <c r="CW55" i="7" s="1"/>
  <c r="CZ55" i="7" s="1"/>
  <c r="DC55" i="7" s="1"/>
  <c r="DF55" i="7" s="1"/>
  <c r="DI55" i="7" s="1"/>
  <c r="DL55" i="7" s="1"/>
  <c r="DO55" i="7" s="1"/>
  <c r="DR55" i="7" s="1"/>
  <c r="DU55" i="7" s="1"/>
  <c r="DX55" i="7" s="1"/>
  <c r="O29" i="7"/>
  <c r="R29" i="7" s="1"/>
  <c r="R6" i="7"/>
  <c r="R25" i="7"/>
  <c r="U25" i="7" s="1"/>
  <c r="O34" i="7"/>
  <c r="R34" i="7" s="1"/>
  <c r="U34" i="7" s="1"/>
  <c r="O53" i="7"/>
  <c r="R53" i="7" s="1"/>
  <c r="N42" i="7"/>
  <c r="O42" i="7" s="1"/>
  <c r="O36" i="7"/>
  <c r="N16" i="7"/>
  <c r="N15" i="7"/>
  <c r="O25" i="7"/>
  <c r="O27" i="7"/>
  <c r="R27" i="7" s="1"/>
  <c r="N41" i="7"/>
  <c r="Q41" i="7" s="1"/>
  <c r="T41" i="7" s="1"/>
  <c r="W41" i="7" s="1"/>
  <c r="Z41" i="7" s="1"/>
  <c r="AC41" i="7" s="1"/>
  <c r="AF41" i="7" s="1"/>
  <c r="AI41" i="7" s="1"/>
  <c r="AL41" i="7" s="1"/>
  <c r="AO41" i="7" s="1"/>
  <c r="AR41" i="7" s="1"/>
  <c r="AU41" i="7" s="1"/>
  <c r="AX41" i="7" s="1"/>
  <c r="BA41" i="7" s="1"/>
  <c r="BD41" i="7" s="1"/>
  <c r="BG41" i="7" s="1"/>
  <c r="BJ41" i="7" s="1"/>
  <c r="BM41" i="7" s="1"/>
  <c r="BP41" i="7" s="1"/>
  <c r="BS41" i="7" s="1"/>
  <c r="BV41" i="7" s="1"/>
  <c r="BY41" i="7" s="1"/>
  <c r="CB41" i="7" s="1"/>
  <c r="CE41" i="7" s="1"/>
  <c r="CH41" i="7" s="1"/>
  <c r="CK41" i="7" s="1"/>
  <c r="CN41" i="7" s="1"/>
  <c r="CQ41" i="7" s="1"/>
  <c r="CT41" i="7" s="1"/>
  <c r="CW41" i="7" s="1"/>
  <c r="CZ41" i="7" s="1"/>
  <c r="DC41" i="7" s="1"/>
  <c r="DF41" i="7" s="1"/>
  <c r="DI41" i="7" s="1"/>
  <c r="DL41" i="7" s="1"/>
  <c r="DO41" i="7" s="1"/>
  <c r="DR41" i="7" s="1"/>
  <c r="DU41" i="7" s="1"/>
  <c r="DX41" i="7" s="1"/>
  <c r="O37" i="7"/>
  <c r="R37" i="7" s="1"/>
  <c r="N17" i="7"/>
  <c r="Q17" i="7" s="1"/>
  <c r="T17" i="7" s="1"/>
  <c r="W17" i="7" s="1"/>
  <c r="Z17" i="7" s="1"/>
  <c r="AC17" i="7" s="1"/>
  <c r="AF17" i="7" s="1"/>
  <c r="AI17" i="7" s="1"/>
  <c r="AL17" i="7" s="1"/>
  <c r="AO17" i="7" s="1"/>
  <c r="AR17" i="7" s="1"/>
  <c r="AU17" i="7" s="1"/>
  <c r="AX17" i="7" s="1"/>
  <c r="BA17" i="7" s="1"/>
  <c r="BD17" i="7" s="1"/>
  <c r="BG17" i="7" s="1"/>
  <c r="BJ17" i="7" s="1"/>
  <c r="BM17" i="7" s="1"/>
  <c r="BP17" i="7" s="1"/>
  <c r="BS17" i="7" s="1"/>
  <c r="BV17" i="7" s="1"/>
  <c r="BY17" i="7" s="1"/>
  <c r="CB17" i="7" s="1"/>
  <c r="CE17" i="7" s="1"/>
  <c r="CH17" i="7" s="1"/>
  <c r="CK17" i="7" s="1"/>
  <c r="CN17" i="7" s="1"/>
  <c r="CQ17" i="7" s="1"/>
  <c r="CT17" i="7" s="1"/>
  <c r="E20" i="8"/>
  <c r="E23" i="8" s="1"/>
  <c r="P1" i="7"/>
  <c r="S1" i="7" s="1"/>
  <c r="H20" i="8" s="1"/>
  <c r="H23" i="8" s="1"/>
  <c r="N24" i="7"/>
  <c r="Q24" i="7" s="1"/>
  <c r="T24" i="7" s="1"/>
  <c r="W24" i="7" s="1"/>
  <c r="Z24" i="7" s="1"/>
  <c r="AC24" i="7" s="1"/>
  <c r="AF24" i="7" s="1"/>
  <c r="AI24" i="7" s="1"/>
  <c r="AL24" i="7" s="1"/>
  <c r="AO24" i="7" s="1"/>
  <c r="AR24" i="7" s="1"/>
  <c r="AU24" i="7" s="1"/>
  <c r="AX24" i="7" s="1"/>
  <c r="BA24" i="7" s="1"/>
  <c r="BD24" i="7" s="1"/>
  <c r="BG24" i="7" s="1"/>
  <c r="BJ24" i="7" s="1"/>
  <c r="BM24" i="7" s="1"/>
  <c r="BP24" i="7" s="1"/>
  <c r="BS24" i="7" s="1"/>
  <c r="BV24" i="7" s="1"/>
  <c r="BY24" i="7" s="1"/>
  <c r="CB24" i="7" s="1"/>
  <c r="CE24" i="7" s="1"/>
  <c r="CH24" i="7" s="1"/>
  <c r="CK24" i="7" s="1"/>
  <c r="CN24" i="7" s="1"/>
  <c r="CQ24" i="7" s="1"/>
  <c r="CT24" i="7" s="1"/>
  <c r="CW24" i="7" s="1"/>
  <c r="CZ24" i="7" s="1"/>
  <c r="DC24" i="7" s="1"/>
  <c r="DF24" i="7" s="1"/>
  <c r="DI24" i="7" s="1"/>
  <c r="DL24" i="7" s="1"/>
  <c r="DO24" i="7" s="1"/>
  <c r="DR24" i="7" s="1"/>
  <c r="DU24" i="7" s="1"/>
  <c r="DX24" i="7" s="1"/>
  <c r="N30" i="7"/>
  <c r="Q30" i="7" s="1"/>
  <c r="T30" i="7" s="1"/>
  <c r="W30" i="7" s="1"/>
  <c r="Z30" i="7" s="1"/>
  <c r="AC30" i="7" s="1"/>
  <c r="AF30" i="7" s="1"/>
  <c r="AI30" i="7" s="1"/>
  <c r="AL30" i="7" s="1"/>
  <c r="AO30" i="7" s="1"/>
  <c r="AR30" i="7" s="1"/>
  <c r="AU30" i="7" s="1"/>
  <c r="AX30" i="7" s="1"/>
  <c r="BA30" i="7" s="1"/>
  <c r="BD30" i="7" s="1"/>
  <c r="BG30" i="7" s="1"/>
  <c r="BJ30" i="7" s="1"/>
  <c r="BM30" i="7" s="1"/>
  <c r="BP30" i="7" s="1"/>
  <c r="BS30" i="7" s="1"/>
  <c r="BV30" i="7" s="1"/>
  <c r="BY30" i="7" s="1"/>
  <c r="CB30" i="7" s="1"/>
  <c r="CE30" i="7" s="1"/>
  <c r="CH30" i="7" s="1"/>
  <c r="CK30" i="7" s="1"/>
  <c r="CN30" i="7" s="1"/>
  <c r="CQ30" i="7" s="1"/>
  <c r="CT30" i="7" s="1"/>
  <c r="CW30" i="7" s="1"/>
  <c r="CZ30" i="7" s="1"/>
  <c r="DC30" i="7" s="1"/>
  <c r="DF30" i="7" s="1"/>
  <c r="DI30" i="7" s="1"/>
  <c r="DL30" i="7" s="1"/>
  <c r="DO30" i="7" s="1"/>
  <c r="DR30" i="7" s="1"/>
  <c r="DU30" i="7" s="1"/>
  <c r="DX30" i="7" s="1"/>
  <c r="N45" i="7"/>
  <c r="Q45" i="7" s="1"/>
  <c r="T45" i="7" s="1"/>
  <c r="W45" i="7" s="1"/>
  <c r="Z45" i="7" s="1"/>
  <c r="AC45" i="7" s="1"/>
  <c r="AF45" i="7" s="1"/>
  <c r="AI45" i="7" s="1"/>
  <c r="AL45" i="7" s="1"/>
  <c r="AO45" i="7" s="1"/>
  <c r="AR45" i="7" s="1"/>
  <c r="AU45" i="7" s="1"/>
  <c r="AX45" i="7" s="1"/>
  <c r="BA45" i="7" s="1"/>
  <c r="BD45" i="7" s="1"/>
  <c r="BG45" i="7" s="1"/>
  <c r="BJ45" i="7" s="1"/>
  <c r="BM45" i="7" s="1"/>
  <c r="BP45" i="7" s="1"/>
  <c r="BS45" i="7" s="1"/>
  <c r="BV45" i="7" s="1"/>
  <c r="BY45" i="7" s="1"/>
  <c r="CB45" i="7" s="1"/>
  <c r="CE45" i="7" s="1"/>
  <c r="CH45" i="7" s="1"/>
  <c r="CK45" i="7" s="1"/>
  <c r="CN45" i="7" s="1"/>
  <c r="CQ45" i="7" s="1"/>
  <c r="CT45" i="7" s="1"/>
  <c r="CW45" i="7" s="1"/>
  <c r="CZ45" i="7" s="1"/>
  <c r="DC45" i="7" s="1"/>
  <c r="DF45" i="7" s="1"/>
  <c r="DI45" i="7" s="1"/>
  <c r="DL45" i="7" s="1"/>
  <c r="DO45" i="7" s="1"/>
  <c r="DR45" i="7" s="1"/>
  <c r="DU45" i="7" s="1"/>
  <c r="DX45" i="7" s="1"/>
  <c r="O23" i="7"/>
  <c r="R23" i="7" s="1"/>
  <c r="W34" i="7"/>
  <c r="Z34" i="7" s="1"/>
  <c r="AC34" i="7" s="1"/>
  <c r="AF34" i="7" s="1"/>
  <c r="AI34" i="7" s="1"/>
  <c r="AL34" i="7" s="1"/>
  <c r="AO34" i="7" s="1"/>
  <c r="AR34" i="7" s="1"/>
  <c r="AU34" i="7" s="1"/>
  <c r="AX34" i="7" s="1"/>
  <c r="BA34" i="7" s="1"/>
  <c r="BD34" i="7" s="1"/>
  <c r="BG34" i="7" s="1"/>
  <c r="BJ34" i="7" s="1"/>
  <c r="BM34" i="7" s="1"/>
  <c r="BP34" i="7" s="1"/>
  <c r="BS34" i="7" s="1"/>
  <c r="BV34" i="7" s="1"/>
  <c r="BY34" i="7" s="1"/>
  <c r="CB34" i="7" s="1"/>
  <c r="CE34" i="7" s="1"/>
  <c r="CH34" i="7" s="1"/>
  <c r="CK34" i="7" s="1"/>
  <c r="CN34" i="7" s="1"/>
  <c r="CQ34" i="7" s="1"/>
  <c r="CT34" i="7" s="1"/>
  <c r="CW34" i="7" s="1"/>
  <c r="CZ34" i="7" s="1"/>
  <c r="DC34" i="7" s="1"/>
  <c r="DF34" i="7" s="1"/>
  <c r="DI34" i="7" s="1"/>
  <c r="DL34" i="7" s="1"/>
  <c r="DO34" i="7" s="1"/>
  <c r="DR34" i="7" s="1"/>
  <c r="DU34" i="7" s="1"/>
  <c r="DX34" i="7" s="1"/>
  <c r="T20" i="7"/>
  <c r="W20" i="7" s="1"/>
  <c r="Z20" i="7" s="1"/>
  <c r="AC20" i="7" s="1"/>
  <c r="AF20" i="7" s="1"/>
  <c r="AI20" i="7" s="1"/>
  <c r="AL20" i="7" s="1"/>
  <c r="AO20" i="7" s="1"/>
  <c r="AR20" i="7" s="1"/>
  <c r="AU20" i="7" s="1"/>
  <c r="AX20" i="7" s="1"/>
  <c r="BA20" i="7" s="1"/>
  <c r="BD20" i="7" s="1"/>
  <c r="BG20" i="7" s="1"/>
  <c r="BJ20" i="7" s="1"/>
  <c r="BM20" i="7" s="1"/>
  <c r="BP20" i="7" s="1"/>
  <c r="BS20" i="7" s="1"/>
  <c r="BV20" i="7" s="1"/>
  <c r="BY20" i="7" s="1"/>
  <c r="CB20" i="7" s="1"/>
  <c r="CE20" i="7" s="1"/>
  <c r="CH20" i="7" s="1"/>
  <c r="CK20" i="7" s="1"/>
  <c r="CN20" i="7" s="1"/>
  <c r="CQ20" i="7" s="1"/>
  <c r="CT20" i="7" s="1"/>
  <c r="CW20" i="7" s="1"/>
  <c r="CZ20" i="7" s="1"/>
  <c r="DC20" i="7" s="1"/>
  <c r="DF20" i="7" s="1"/>
  <c r="DI20" i="7" s="1"/>
  <c r="DL20" i="7" s="1"/>
  <c r="DO20" i="7" s="1"/>
  <c r="DR20" i="7" s="1"/>
  <c r="DU20" i="7" s="1"/>
  <c r="DX20" i="7" s="1"/>
  <c r="T37" i="7"/>
  <c r="W37" i="7" s="1"/>
  <c r="Z37" i="7" s="1"/>
  <c r="AC37" i="7" s="1"/>
  <c r="AF37" i="7" s="1"/>
  <c r="AI37" i="7" s="1"/>
  <c r="AL37" i="7" s="1"/>
  <c r="AO37" i="7" s="1"/>
  <c r="AR37" i="7" s="1"/>
  <c r="AU37" i="7" s="1"/>
  <c r="AX37" i="7" s="1"/>
  <c r="BA37" i="7" s="1"/>
  <c r="BD37" i="7" s="1"/>
  <c r="BG37" i="7" s="1"/>
  <c r="BJ37" i="7" s="1"/>
  <c r="BM37" i="7" s="1"/>
  <c r="BP37" i="7" s="1"/>
  <c r="BS37" i="7" s="1"/>
  <c r="BV37" i="7" s="1"/>
  <c r="BY37" i="7" s="1"/>
  <c r="CB37" i="7" s="1"/>
  <c r="CE37" i="7" s="1"/>
  <c r="CH37" i="7" s="1"/>
  <c r="CK37" i="7" s="1"/>
  <c r="CN37" i="7" s="1"/>
  <c r="CQ37" i="7" s="1"/>
  <c r="CT37" i="7" s="1"/>
  <c r="CW37" i="7" s="1"/>
  <c r="CZ37" i="7" s="1"/>
  <c r="DC37" i="7" s="1"/>
  <c r="DF37" i="7" s="1"/>
  <c r="DI37" i="7" s="1"/>
  <c r="DL37" i="7" s="1"/>
  <c r="DO37" i="7" s="1"/>
  <c r="DR37" i="7" s="1"/>
  <c r="DU37" i="7" s="1"/>
  <c r="DX37" i="7" s="1"/>
  <c r="T53" i="7"/>
  <c r="W53" i="7" s="1"/>
  <c r="Z53" i="7" s="1"/>
  <c r="AC53" i="7" s="1"/>
  <c r="AF53" i="7" s="1"/>
  <c r="AI53" i="7" s="1"/>
  <c r="AL53" i="7" s="1"/>
  <c r="AO53" i="7" s="1"/>
  <c r="AR53" i="7" s="1"/>
  <c r="AU53" i="7" s="1"/>
  <c r="AX53" i="7" s="1"/>
  <c r="BA53" i="7" s="1"/>
  <c r="BD53" i="7" s="1"/>
  <c r="BG53" i="7" s="1"/>
  <c r="BJ53" i="7" s="1"/>
  <c r="BM53" i="7" s="1"/>
  <c r="BP53" i="7" s="1"/>
  <c r="BS53" i="7" s="1"/>
  <c r="BV53" i="7" s="1"/>
  <c r="BY53" i="7" s="1"/>
  <c r="CB53" i="7" s="1"/>
  <c r="CE53" i="7" s="1"/>
  <c r="CH53" i="7" s="1"/>
  <c r="CK53" i="7" s="1"/>
  <c r="CN53" i="7" s="1"/>
  <c r="CQ53" i="7" s="1"/>
  <c r="CT53" i="7" s="1"/>
  <c r="CW53" i="7" s="1"/>
  <c r="CZ53" i="7" s="1"/>
  <c r="DC53" i="7" s="1"/>
  <c r="DF53" i="7" s="1"/>
  <c r="DI53" i="7" s="1"/>
  <c r="DL53" i="7" s="1"/>
  <c r="DO53" i="7" s="1"/>
  <c r="DR53" i="7" s="1"/>
  <c r="DU53" i="7" s="1"/>
  <c r="DX53" i="7" s="1"/>
  <c r="I18" i="6"/>
  <c r="I20" i="6"/>
  <c r="I12" i="6"/>
  <c r="P6" i="6"/>
  <c r="P24" i="6" s="1"/>
  <c r="J6" i="6"/>
  <c r="I9" i="6"/>
  <c r="I23" i="6"/>
  <c r="I22" i="6"/>
  <c r="O38" i="7"/>
  <c r="R38" i="7"/>
  <c r="R20" i="7"/>
  <c r="O18" i="7"/>
  <c r="R18" i="7" s="1"/>
  <c r="O13" i="7"/>
  <c r="O19" i="7"/>
  <c r="O51" i="7"/>
  <c r="U4" i="7"/>
  <c r="X4" i="7" s="1"/>
  <c r="U6" i="7"/>
  <c r="X6" i="7" s="1"/>
  <c r="J21" i="6"/>
  <c r="J20" i="6"/>
  <c r="P13" i="6"/>
  <c r="I24" i="6"/>
  <c r="I25" i="6"/>
  <c r="I21" i="6"/>
  <c r="I17" i="6"/>
  <c r="I10" i="6"/>
  <c r="I11" i="6"/>
  <c r="I19" i="6"/>
  <c r="P8" i="6"/>
  <c r="J14" i="6"/>
  <c r="J10" i="6"/>
  <c r="J15" i="6"/>
  <c r="J16" i="6"/>
  <c r="I15" i="6"/>
  <c r="I13" i="6"/>
  <c r="I14" i="6"/>
  <c r="I16" i="6"/>
  <c r="I8" i="6"/>
  <c r="J8" i="6"/>
  <c r="J11" i="6"/>
  <c r="J9" i="6"/>
  <c r="J17" i="6"/>
  <c r="J18" i="6"/>
  <c r="J13" i="6"/>
  <c r="J25" i="6"/>
  <c r="J23" i="6"/>
  <c r="J24" i="6"/>
  <c r="F23" i="8"/>
  <c r="U38" i="7"/>
  <c r="CW4" i="7"/>
  <c r="O8" i="7"/>
  <c r="R8" i="7" s="1"/>
  <c r="Q42" i="7"/>
  <c r="T42" i="7" s="1"/>
  <c r="W42" i="7" s="1"/>
  <c r="Z42" i="7" s="1"/>
  <c r="AC42" i="7" s="1"/>
  <c r="AF42" i="7" s="1"/>
  <c r="AI42" i="7" s="1"/>
  <c r="AL42" i="7" s="1"/>
  <c r="AO42" i="7" s="1"/>
  <c r="AR42" i="7" s="1"/>
  <c r="AU42" i="7" s="1"/>
  <c r="AX42" i="7" s="1"/>
  <c r="BA42" i="7" s="1"/>
  <c r="BD42" i="7" s="1"/>
  <c r="BG42" i="7" s="1"/>
  <c r="BJ42" i="7" s="1"/>
  <c r="BM42" i="7" s="1"/>
  <c r="BP42" i="7" s="1"/>
  <c r="BS42" i="7" s="1"/>
  <c r="BV42" i="7" s="1"/>
  <c r="BY42" i="7" s="1"/>
  <c r="CB42" i="7" s="1"/>
  <c r="CE42" i="7" s="1"/>
  <c r="CH42" i="7" s="1"/>
  <c r="CK42" i="7" s="1"/>
  <c r="CN42" i="7" s="1"/>
  <c r="CQ42" i="7" s="1"/>
  <c r="CT42" i="7" s="1"/>
  <c r="CW42" i="7" s="1"/>
  <c r="CZ42" i="7" s="1"/>
  <c r="DC42" i="7" s="1"/>
  <c r="DF42" i="7" s="1"/>
  <c r="DI42" i="7" s="1"/>
  <c r="DL42" i="7" s="1"/>
  <c r="DO42" i="7" s="1"/>
  <c r="DR42" i="7" s="1"/>
  <c r="DU42" i="7" s="1"/>
  <c r="DX42" i="7" s="1"/>
  <c r="Q5" i="7"/>
  <c r="R5" i="7" s="1"/>
  <c r="O12" i="7"/>
  <c r="R12" i="7" s="1"/>
  <c r="R35" i="7"/>
  <c r="R19" i="7"/>
  <c r="O21" i="7"/>
  <c r="O7" i="7"/>
  <c r="L10" i="7"/>
  <c r="N10" i="7"/>
  <c r="L14" i="7"/>
  <c r="O14" i="7" s="1"/>
  <c r="L44" i="7"/>
  <c r="N44" i="7"/>
  <c r="Q44" i="7" s="1"/>
  <c r="T44" i="7" s="1"/>
  <c r="W44" i="7" s="1"/>
  <c r="Z44" i="7" s="1"/>
  <c r="AC44" i="7" s="1"/>
  <c r="AF44" i="7" s="1"/>
  <c r="AI44" i="7" s="1"/>
  <c r="AL44" i="7" s="1"/>
  <c r="AO44" i="7" s="1"/>
  <c r="AR44" i="7" s="1"/>
  <c r="AU44" i="7" s="1"/>
  <c r="AX44" i="7" s="1"/>
  <c r="BA44" i="7" s="1"/>
  <c r="BD44" i="7" s="1"/>
  <c r="BG44" i="7" s="1"/>
  <c r="BJ44" i="7" s="1"/>
  <c r="BM44" i="7" s="1"/>
  <c r="BP44" i="7" s="1"/>
  <c r="BS44" i="7" s="1"/>
  <c r="BV44" i="7" s="1"/>
  <c r="BY44" i="7" s="1"/>
  <c r="CB44" i="7" s="1"/>
  <c r="CE44" i="7" s="1"/>
  <c r="CH44" i="7" s="1"/>
  <c r="CK44" i="7" s="1"/>
  <c r="CN44" i="7" s="1"/>
  <c r="CQ44" i="7" s="1"/>
  <c r="CT44" i="7" s="1"/>
  <c r="CW44" i="7" s="1"/>
  <c r="CZ44" i="7" s="1"/>
  <c r="DC44" i="7" s="1"/>
  <c r="DF44" i="7" s="1"/>
  <c r="DI44" i="7" s="1"/>
  <c r="DL44" i="7" s="1"/>
  <c r="DO44" i="7" s="1"/>
  <c r="DR44" i="7" s="1"/>
  <c r="DU44" i="7" s="1"/>
  <c r="DX44" i="7" s="1"/>
  <c r="N54" i="7"/>
  <c r="Q54" i="7" s="1"/>
  <c r="T54" i="7" s="1"/>
  <c r="W54" i="7" s="1"/>
  <c r="Z54" i="7" s="1"/>
  <c r="AC54" i="7" s="1"/>
  <c r="AF54" i="7" s="1"/>
  <c r="AI54" i="7" s="1"/>
  <c r="AL54" i="7" s="1"/>
  <c r="AO54" i="7" s="1"/>
  <c r="AR54" i="7" s="1"/>
  <c r="AU54" i="7" s="1"/>
  <c r="AX54" i="7" s="1"/>
  <c r="BA54" i="7" s="1"/>
  <c r="BD54" i="7" s="1"/>
  <c r="BG54" i="7" s="1"/>
  <c r="BJ54" i="7" s="1"/>
  <c r="BM54" i="7" s="1"/>
  <c r="BP54" i="7" s="1"/>
  <c r="BS54" i="7" s="1"/>
  <c r="BV54" i="7" s="1"/>
  <c r="BY54" i="7" s="1"/>
  <c r="CB54" i="7" s="1"/>
  <c r="CE54" i="7" s="1"/>
  <c r="CH54" i="7" s="1"/>
  <c r="CK54" i="7" s="1"/>
  <c r="CN54" i="7" s="1"/>
  <c r="CQ54" i="7" s="1"/>
  <c r="CT54" i="7" s="1"/>
  <c r="CW54" i="7" s="1"/>
  <c r="CZ54" i="7" s="1"/>
  <c r="DC54" i="7" s="1"/>
  <c r="DF54" i="7" s="1"/>
  <c r="DI54" i="7" s="1"/>
  <c r="DL54" i="7" s="1"/>
  <c r="DO54" i="7" s="1"/>
  <c r="DR54" i="7" s="1"/>
  <c r="DU54" i="7" s="1"/>
  <c r="DX54" i="7" s="1"/>
  <c r="L54" i="7"/>
  <c r="L59" i="7"/>
  <c r="N59" i="7"/>
  <c r="Q59" i="7" s="1"/>
  <c r="T59" i="7" s="1"/>
  <c r="W59" i="7" s="1"/>
  <c r="Z59" i="7" s="1"/>
  <c r="AC59" i="7" s="1"/>
  <c r="AF59" i="7" s="1"/>
  <c r="AI59" i="7" s="1"/>
  <c r="AL59" i="7" s="1"/>
  <c r="AO59" i="7" s="1"/>
  <c r="AR59" i="7" s="1"/>
  <c r="AU59" i="7" s="1"/>
  <c r="AX59" i="7" s="1"/>
  <c r="BA59" i="7" s="1"/>
  <c r="BD59" i="7" s="1"/>
  <c r="BG59" i="7" s="1"/>
  <c r="BJ59" i="7" s="1"/>
  <c r="BM59" i="7" s="1"/>
  <c r="BP59" i="7" s="1"/>
  <c r="BS59" i="7" s="1"/>
  <c r="BV59" i="7" s="1"/>
  <c r="BY59" i="7" s="1"/>
  <c r="CB59" i="7" s="1"/>
  <c r="CE59" i="7" s="1"/>
  <c r="CH59" i="7" s="1"/>
  <c r="CK59" i="7" s="1"/>
  <c r="CN59" i="7" s="1"/>
  <c r="CQ59" i="7" s="1"/>
  <c r="CT59" i="7" s="1"/>
  <c r="CW59" i="7" s="1"/>
  <c r="CZ59" i="7" s="1"/>
  <c r="DC59" i="7" s="1"/>
  <c r="DF59" i="7" s="1"/>
  <c r="DI59" i="7" s="1"/>
  <c r="DL59" i="7" s="1"/>
  <c r="DO59" i="7" s="1"/>
  <c r="DR59" i="7" s="1"/>
  <c r="DU59" i="7" s="1"/>
  <c r="DX59" i="7" s="1"/>
  <c r="O57" i="7"/>
  <c r="O41" i="7" l="1"/>
  <c r="U23" i="7"/>
  <c r="X23" i="7" s="1"/>
  <c r="AA23" i="7" s="1"/>
  <c r="AD23" i="7" s="1"/>
  <c r="O28" i="7"/>
  <c r="R28" i="7" s="1"/>
  <c r="X48" i="7"/>
  <c r="AA48" i="7" s="1"/>
  <c r="AD48" i="7" s="1"/>
  <c r="R36" i="7"/>
  <c r="U36" i="7" s="1"/>
  <c r="V1" i="7"/>
  <c r="Y1" i="7" s="1"/>
  <c r="O30" i="7"/>
  <c r="R30" i="7" s="1"/>
  <c r="U30" i="7" s="1"/>
  <c r="X30" i="7" s="1"/>
  <c r="AA30" i="7" s="1"/>
  <c r="O11" i="7"/>
  <c r="X34" i="7"/>
  <c r="AA34" i="7" s="1"/>
  <c r="U20" i="7"/>
  <c r="X20" i="7" s="1"/>
  <c r="AA20" i="7" s="1"/>
  <c r="R41" i="7"/>
  <c r="U58" i="7"/>
  <c r="X58" i="7" s="1"/>
  <c r="P11" i="6"/>
  <c r="G20" i="8"/>
  <c r="G23" i="8" s="1"/>
  <c r="H24" i="8" s="1"/>
  <c r="H27" i="8" s="1"/>
  <c r="P12" i="6"/>
  <c r="E22" i="8"/>
  <c r="U53" i="7"/>
  <c r="X53" i="7" s="1"/>
  <c r="O15" i="7"/>
  <c r="Q15" i="7"/>
  <c r="U27" i="7"/>
  <c r="AA4" i="7"/>
  <c r="Q6" i="6"/>
  <c r="Q18" i="6" s="1"/>
  <c r="U18" i="7"/>
  <c r="X18" i="7" s="1"/>
  <c r="AA18" i="7" s="1"/>
  <c r="AD18" i="7" s="1"/>
  <c r="P16" i="6"/>
  <c r="P22" i="6"/>
  <c r="Q16" i="7"/>
  <c r="T16" i="7" s="1"/>
  <c r="W16" i="7" s="1"/>
  <c r="Z16" i="7" s="1"/>
  <c r="AC16" i="7" s="1"/>
  <c r="AF16" i="7" s="1"/>
  <c r="AI16" i="7" s="1"/>
  <c r="AL16" i="7" s="1"/>
  <c r="AO16" i="7" s="1"/>
  <c r="AR16" i="7" s="1"/>
  <c r="AU16" i="7" s="1"/>
  <c r="AX16" i="7" s="1"/>
  <c r="BA16" i="7" s="1"/>
  <c r="BD16" i="7" s="1"/>
  <c r="BG16" i="7" s="1"/>
  <c r="BJ16" i="7" s="1"/>
  <c r="BM16" i="7" s="1"/>
  <c r="BP16" i="7" s="1"/>
  <c r="BS16" i="7" s="1"/>
  <c r="BV16" i="7" s="1"/>
  <c r="BY16" i="7" s="1"/>
  <c r="CB16" i="7" s="1"/>
  <c r="CE16" i="7" s="1"/>
  <c r="CH16" i="7" s="1"/>
  <c r="CK16" i="7" s="1"/>
  <c r="CN16" i="7" s="1"/>
  <c r="CQ16" i="7" s="1"/>
  <c r="CT16" i="7" s="1"/>
  <c r="O16" i="7"/>
  <c r="O17" i="7"/>
  <c r="O45" i="7"/>
  <c r="R45" i="7" s="1"/>
  <c r="P9" i="6"/>
  <c r="O55" i="7"/>
  <c r="P10" i="6"/>
  <c r="E24" i="8"/>
  <c r="E27" i="8" s="1"/>
  <c r="P20" i="6"/>
  <c r="O24" i="7"/>
  <c r="R24" i="7" s="1"/>
  <c r="R51" i="7"/>
  <c r="P15" i="6"/>
  <c r="P19" i="6"/>
  <c r="W6" i="6"/>
  <c r="P21" i="6"/>
  <c r="P17" i="6"/>
  <c r="P18" i="6"/>
  <c r="P14" i="6"/>
  <c r="P25" i="6"/>
  <c r="P23" i="6"/>
  <c r="R13" i="7"/>
  <c r="U13" i="7" s="1"/>
  <c r="J12" i="6"/>
  <c r="J19" i="6"/>
  <c r="K6" i="6"/>
  <c r="J22" i="6"/>
  <c r="U37" i="7"/>
  <c r="X37" i="7" s="1"/>
  <c r="X9" i="7"/>
  <c r="Q19" i="6"/>
  <c r="Q23" i="6"/>
  <c r="Q8" i="6"/>
  <c r="Q21" i="6"/>
  <c r="U8" i="7"/>
  <c r="X8" i="7" s="1"/>
  <c r="R57" i="7"/>
  <c r="U57" i="7" s="1"/>
  <c r="O59" i="7"/>
  <c r="R59" i="7" s="1"/>
  <c r="O44" i="7"/>
  <c r="R44" i="7" s="1"/>
  <c r="O10" i="7"/>
  <c r="E31" i="8"/>
  <c r="E35" i="8"/>
  <c r="O54" i="7"/>
  <c r="R54" i="7" s="1"/>
  <c r="U54" i="7" s="1"/>
  <c r="Q10" i="7"/>
  <c r="T10" i="7" s="1"/>
  <c r="W10" i="7" s="1"/>
  <c r="Z10" i="7" s="1"/>
  <c r="AC10" i="7" s="1"/>
  <c r="AF10" i="7" s="1"/>
  <c r="AI10" i="7" s="1"/>
  <c r="AL10" i="7" s="1"/>
  <c r="AO10" i="7" s="1"/>
  <c r="AR10" i="7" s="1"/>
  <c r="AU10" i="7" s="1"/>
  <c r="AX10" i="7" s="1"/>
  <c r="BA10" i="7" s="1"/>
  <c r="BD10" i="7" s="1"/>
  <c r="BG10" i="7" s="1"/>
  <c r="BJ10" i="7" s="1"/>
  <c r="BM10" i="7" s="1"/>
  <c r="BP10" i="7" s="1"/>
  <c r="BS10" i="7" s="1"/>
  <c r="BV10" i="7" s="1"/>
  <c r="BY10" i="7" s="1"/>
  <c r="CB10" i="7" s="1"/>
  <c r="CE10" i="7" s="1"/>
  <c r="CH10" i="7" s="1"/>
  <c r="CK10" i="7" s="1"/>
  <c r="CN10" i="7" s="1"/>
  <c r="CQ10" i="7" s="1"/>
  <c r="CT10" i="7" s="1"/>
  <c r="CW10" i="7" s="1"/>
  <c r="CZ10" i="7" s="1"/>
  <c r="DC10" i="7" s="1"/>
  <c r="DF10" i="7" s="1"/>
  <c r="DI10" i="7" s="1"/>
  <c r="DL10" i="7" s="1"/>
  <c r="DO10" i="7" s="1"/>
  <c r="DR10" i="7" s="1"/>
  <c r="DU10" i="7" s="1"/>
  <c r="DX10" i="7" s="1"/>
  <c r="F22" i="8"/>
  <c r="AA6" i="7"/>
  <c r="AD6" i="7" s="1"/>
  <c r="AG6" i="7" s="1"/>
  <c r="AD34" i="7"/>
  <c r="U12" i="7"/>
  <c r="X12" i="7" s="1"/>
  <c r="R42" i="7"/>
  <c r="U42" i="7" s="1"/>
  <c r="X42" i="7" s="1"/>
  <c r="U29" i="7"/>
  <c r="X38" i="7"/>
  <c r="U19" i="7"/>
  <c r="E36" i="8"/>
  <c r="R21" i="7"/>
  <c r="U21" i="7" s="1"/>
  <c r="AD4" i="7"/>
  <c r="R14" i="7"/>
  <c r="U14" i="7" s="1"/>
  <c r="R7" i="7"/>
  <c r="U35" i="7"/>
  <c r="X35" i="7" s="1"/>
  <c r="U41" i="7"/>
  <c r="T5" i="7"/>
  <c r="U5" i="7" s="1"/>
  <c r="Q65" i="7"/>
  <c r="CZ4" i="7"/>
  <c r="E37" i="8"/>
  <c r="N65" i="7"/>
  <c r="X25" i="7"/>
  <c r="F24" i="8"/>
  <c r="F27" i="8" s="1"/>
  <c r="F28" i="8" l="1"/>
  <c r="E28" i="8"/>
  <c r="F36" i="8"/>
  <c r="F37" i="8"/>
  <c r="U24" i="7"/>
  <c r="I20" i="8"/>
  <c r="I23" i="8" s="1"/>
  <c r="X36" i="7"/>
  <c r="AA36" i="7" s="1"/>
  <c r="U45" i="7"/>
  <c r="X45" i="7" s="1"/>
  <c r="Q25" i="6"/>
  <c r="Q20" i="6"/>
  <c r="Q17" i="6"/>
  <c r="U28" i="7"/>
  <c r="AG48" i="7"/>
  <c r="AJ48" i="7" s="1"/>
  <c r="AM48" i="7" s="1"/>
  <c r="Q15" i="6"/>
  <c r="Q24" i="6"/>
  <c r="Q16" i="6"/>
  <c r="X27" i="7"/>
  <c r="AA27" i="7" s="1"/>
  <c r="AD27" i="7" s="1"/>
  <c r="AG27" i="7" s="1"/>
  <c r="R55" i="7"/>
  <c r="U55" i="7" s="1"/>
  <c r="AG34" i="7"/>
  <c r="Q22" i="6"/>
  <c r="Q10" i="6"/>
  <c r="R6" i="6"/>
  <c r="R20" i="6" s="1"/>
  <c r="R11" i="7"/>
  <c r="AD30" i="7"/>
  <c r="AG30" i="7" s="1"/>
  <c r="G24" i="8"/>
  <c r="G27" i="8" s="1"/>
  <c r="R15" i="7"/>
  <c r="T15" i="7"/>
  <c r="W15" i="7" s="1"/>
  <c r="Z15" i="7" s="1"/>
  <c r="AC15" i="7" s="1"/>
  <c r="AF15" i="7" s="1"/>
  <c r="AI15" i="7" s="1"/>
  <c r="AL15" i="7" s="1"/>
  <c r="AO15" i="7" s="1"/>
  <c r="AR15" i="7" s="1"/>
  <c r="AU15" i="7" s="1"/>
  <c r="AX15" i="7" s="1"/>
  <c r="BA15" i="7" s="1"/>
  <c r="BD15" i="7" s="1"/>
  <c r="BG15" i="7" s="1"/>
  <c r="BJ15" i="7" s="1"/>
  <c r="BM15" i="7" s="1"/>
  <c r="BP15" i="7" s="1"/>
  <c r="BS15" i="7" s="1"/>
  <c r="BV15" i="7" s="1"/>
  <c r="BY15" i="7" s="1"/>
  <c r="CB15" i="7" s="1"/>
  <c r="CE15" i="7" s="1"/>
  <c r="CH15" i="7" s="1"/>
  <c r="CK15" i="7" s="1"/>
  <c r="CN15" i="7" s="1"/>
  <c r="CQ15" i="7" s="1"/>
  <c r="CT15" i="7" s="1"/>
  <c r="CW15" i="7" s="1"/>
  <c r="CZ15" i="7" s="1"/>
  <c r="DC15" i="7" s="1"/>
  <c r="DF15" i="7" s="1"/>
  <c r="DI15" i="7" s="1"/>
  <c r="DL15" i="7" s="1"/>
  <c r="DO15" i="7" s="1"/>
  <c r="DR15" i="7" s="1"/>
  <c r="DU15" i="7" s="1"/>
  <c r="DX15" i="7" s="1"/>
  <c r="G22" i="8"/>
  <c r="F31" i="8"/>
  <c r="E25" i="8"/>
  <c r="R16" i="7"/>
  <c r="R17" i="7"/>
  <c r="U17" i="7" s="1"/>
  <c r="X17" i="7" s="1"/>
  <c r="AA17" i="7" s="1"/>
  <c r="Q13" i="6"/>
  <c r="Q12" i="6"/>
  <c r="Q9" i="6"/>
  <c r="Q14" i="6"/>
  <c r="Q11" i="6"/>
  <c r="AA53" i="7"/>
  <c r="AD53" i="7" s="1"/>
  <c r="W19" i="6"/>
  <c r="W12" i="6"/>
  <c r="W21" i="6"/>
  <c r="W11" i="6"/>
  <c r="W16" i="6"/>
  <c r="W9" i="6"/>
  <c r="W14" i="6"/>
  <c r="W10" i="6"/>
  <c r="W25" i="6"/>
  <c r="W24" i="6"/>
  <c r="X6" i="6"/>
  <c r="W20" i="6"/>
  <c r="W8" i="6"/>
  <c r="W22" i="6"/>
  <c r="W13" i="6"/>
  <c r="W18" i="6"/>
  <c r="W17" i="6"/>
  <c r="W15" i="6"/>
  <c r="AD6" i="6"/>
  <c r="W23" i="6"/>
  <c r="AA12" i="7"/>
  <c r="AD12" i="7" s="1"/>
  <c r="F35" i="8"/>
  <c r="AD20" i="7"/>
  <c r="AG20" i="7" s="1"/>
  <c r="X24" i="7"/>
  <c r="K18" i="6"/>
  <c r="K13" i="6"/>
  <c r="L6" i="6"/>
  <c r="K10" i="6"/>
  <c r="K24" i="6"/>
  <c r="K17" i="6"/>
  <c r="K20" i="6"/>
  <c r="K14" i="6"/>
  <c r="K9" i="6"/>
  <c r="K25" i="6"/>
  <c r="K23" i="6"/>
  <c r="K16" i="6"/>
  <c r="K22" i="6"/>
  <c r="K8" i="6"/>
  <c r="K19" i="6"/>
  <c r="K15" i="6"/>
  <c r="K11" i="6"/>
  <c r="K12" i="6"/>
  <c r="K21" i="6"/>
  <c r="X54" i="7"/>
  <c r="X13" i="7"/>
  <c r="AA13" i="7" s="1"/>
  <c r="AA37" i="7"/>
  <c r="U51" i="7"/>
  <c r="J20" i="8"/>
  <c r="AB1" i="7"/>
  <c r="AA9" i="7"/>
  <c r="AD9" i="7" s="1"/>
  <c r="R18" i="6"/>
  <c r="R22" i="6"/>
  <c r="R11" i="6"/>
  <c r="R24" i="6"/>
  <c r="R15" i="6"/>
  <c r="AG18" i="7"/>
  <c r="AJ18" i="7" s="1"/>
  <c r="X29" i="7"/>
  <c r="F25" i="8"/>
  <c r="X14" i="7"/>
  <c r="AA35" i="7"/>
  <c r="AD35" i="7" s="1"/>
  <c r="AA42" i="7"/>
  <c r="AD42" i="7" s="1"/>
  <c r="AJ34" i="7"/>
  <c r="AM34" i="7" s="1"/>
  <c r="AJ6" i="7"/>
  <c r="AM6" i="7" s="1"/>
  <c r="AA25" i="7"/>
  <c r="X21" i="7"/>
  <c r="AA54" i="7"/>
  <c r="AD54" i="7" s="1"/>
  <c r="X19" i="7"/>
  <c r="AA19" i="7" s="1"/>
  <c r="R10" i="7"/>
  <c r="U44" i="7"/>
  <c r="U59" i="7"/>
  <c r="X57" i="7"/>
  <c r="DC4" i="7"/>
  <c r="W5" i="7"/>
  <c r="T65" i="7"/>
  <c r="H22" i="8"/>
  <c r="H28" i="8" s="1"/>
  <c r="AA38" i="7"/>
  <c r="AG23" i="7"/>
  <c r="AG53" i="7"/>
  <c r="AJ53" i="7" s="1"/>
  <c r="AA58" i="7"/>
  <c r="X41" i="7"/>
  <c r="U7" i="7"/>
  <c r="X7" i="7" s="1"/>
  <c r="AG4" i="7"/>
  <c r="AA8" i="7"/>
  <c r="AD8" i="7" s="1"/>
  <c r="G28" i="8" l="1"/>
  <c r="U15" i="7"/>
  <c r="I24" i="8"/>
  <c r="I27" i="8" s="1"/>
  <c r="G25" i="8"/>
  <c r="AJ27" i="7"/>
  <c r="AM27" i="7" s="1"/>
  <c r="AP27" i="7" s="1"/>
  <c r="R16" i="6"/>
  <c r="R25" i="6"/>
  <c r="R19" i="6"/>
  <c r="R9" i="6"/>
  <c r="X55" i="7"/>
  <c r="AA45" i="7"/>
  <c r="AD45" i="7" s="1"/>
  <c r="AG45" i="7" s="1"/>
  <c r="R8" i="6"/>
  <c r="R10" i="6"/>
  <c r="R13" i="6"/>
  <c r="R23" i="6"/>
  <c r="R17" i="6"/>
  <c r="U16" i="7"/>
  <c r="X16" i="7" s="1"/>
  <c r="AA16" i="7" s="1"/>
  <c r="AD16" i="7" s="1"/>
  <c r="AG16" i="7" s="1"/>
  <c r="U11" i="7"/>
  <c r="X28" i="7"/>
  <c r="G37" i="8"/>
  <c r="R14" i="6"/>
  <c r="R21" i="6"/>
  <c r="R12" i="6"/>
  <c r="S6" i="6"/>
  <c r="AJ30" i="7"/>
  <c r="AM30" i="7" s="1"/>
  <c r="AP30" i="7" s="1"/>
  <c r="AD36" i="7"/>
  <c r="AG36" i="7" s="1"/>
  <c r="AJ20" i="7"/>
  <c r="AM20" i="7" s="1"/>
  <c r="AP20" i="7" s="1"/>
  <c r="AS20" i="7" s="1"/>
  <c r="X15" i="7"/>
  <c r="AA15" i="7" s="1"/>
  <c r="AD15" i="7" s="1"/>
  <c r="AD17" i="7"/>
  <c r="AG17" i="7" s="1"/>
  <c r="G31" i="8"/>
  <c r="G35" i="8"/>
  <c r="AD13" i="7"/>
  <c r="AG13" i="7" s="1"/>
  <c r="AJ13" i="7" s="1"/>
  <c r="AA55" i="7"/>
  <c r="AD55" i="7" s="1"/>
  <c r="L10" i="6"/>
  <c r="L22" i="6"/>
  <c r="L13" i="6"/>
  <c r="L18" i="6"/>
  <c r="L9" i="6"/>
  <c r="L14" i="6"/>
  <c r="L12" i="6"/>
  <c r="L24" i="6"/>
  <c r="L17" i="6"/>
  <c r="L23" i="6"/>
  <c r="L8" i="6"/>
  <c r="L19" i="6"/>
  <c r="L15" i="6"/>
  <c r="L16" i="6"/>
  <c r="M6" i="6"/>
  <c r="L21" i="6"/>
  <c r="L25" i="6"/>
  <c r="L20" i="6"/>
  <c r="L11" i="6"/>
  <c r="AD37" i="7"/>
  <c r="AG37" i="7" s="1"/>
  <c r="AA24" i="7"/>
  <c r="AD19" i="6"/>
  <c r="AD14" i="6"/>
  <c r="AD9" i="6"/>
  <c r="AE6" i="6"/>
  <c r="AD24" i="6"/>
  <c r="AD11" i="6"/>
  <c r="AD15" i="6"/>
  <c r="AD23" i="6"/>
  <c r="AD17" i="6"/>
  <c r="AD21" i="6"/>
  <c r="AD10" i="6"/>
  <c r="AD13" i="6"/>
  <c r="AD8" i="6"/>
  <c r="AD22" i="6"/>
  <c r="AD20" i="6"/>
  <c r="AD12" i="6"/>
  <c r="AD25" i="6"/>
  <c r="AD18" i="6"/>
  <c r="AD16" i="6"/>
  <c r="X9" i="6"/>
  <c r="X22" i="6"/>
  <c r="X15" i="6"/>
  <c r="X18" i="6"/>
  <c r="X12" i="6"/>
  <c r="X8" i="6"/>
  <c r="Y6" i="6"/>
  <c r="X21" i="6"/>
  <c r="X17" i="6"/>
  <c r="X10" i="6"/>
  <c r="X16" i="6"/>
  <c r="X11" i="6"/>
  <c r="X13" i="6"/>
  <c r="X23" i="6"/>
  <c r="X20" i="6"/>
  <c r="X25" i="6"/>
  <c r="X24" i="6"/>
  <c r="X19" i="6"/>
  <c r="X14" i="6"/>
  <c r="G36" i="8"/>
  <c r="U10" i="7"/>
  <c r="X51" i="7"/>
  <c r="K20" i="8"/>
  <c r="AE1" i="7"/>
  <c r="J23" i="8"/>
  <c r="J24" i="8" s="1"/>
  <c r="J27" i="8" s="1"/>
  <c r="AG9" i="7"/>
  <c r="AJ9" i="7" s="1"/>
  <c r="S18" i="6"/>
  <c r="S19" i="6"/>
  <c r="S14" i="6"/>
  <c r="S15" i="6"/>
  <c r="S22" i="6"/>
  <c r="S23" i="6"/>
  <c r="T6" i="6"/>
  <c r="S20" i="6"/>
  <c r="S8" i="6"/>
  <c r="S9" i="6"/>
  <c r="S13" i="6"/>
  <c r="S25" i="6"/>
  <c r="S21" i="6"/>
  <c r="S24" i="6"/>
  <c r="S11" i="6"/>
  <c r="S17" i="6"/>
  <c r="S16" i="6"/>
  <c r="S12" i="6"/>
  <c r="S10" i="6"/>
  <c r="AP6" i="7"/>
  <c r="AS6" i="7" s="1"/>
  <c r="AP34" i="7"/>
  <c r="AJ23" i="7"/>
  <c r="H25" i="8"/>
  <c r="Z5" i="7"/>
  <c r="W65" i="7"/>
  <c r="I22" i="8"/>
  <c r="DF4" i="7"/>
  <c r="X44" i="7"/>
  <c r="AA44" i="7" s="1"/>
  <c r="AA14" i="7"/>
  <c r="AP48" i="7"/>
  <c r="AS48" i="7" s="1"/>
  <c r="AA29" i="7"/>
  <c r="AD29" i="7" s="1"/>
  <c r="AG8" i="7"/>
  <c r="AJ8" i="7" s="1"/>
  <c r="AJ4" i="7"/>
  <c r="AM4" i="7" s="1"/>
  <c r="AA7" i="7"/>
  <c r="AD38" i="7"/>
  <c r="AG38" i="7" s="1"/>
  <c r="AA41" i="7"/>
  <c r="AM18" i="7"/>
  <c r="AP18" i="7" s="1"/>
  <c r="AM53" i="7"/>
  <c r="AP53" i="7" s="1"/>
  <c r="AS53" i="7" s="1"/>
  <c r="AA21" i="7"/>
  <c r="AG54" i="7"/>
  <c r="H35" i="8"/>
  <c r="H36" i="8"/>
  <c r="AA57" i="7"/>
  <c r="AD57" i="7" s="1"/>
  <c r="AD25" i="7"/>
  <c r="AD58" i="7"/>
  <c r="AG12" i="7"/>
  <c r="AD19" i="7"/>
  <c r="AG35" i="7"/>
  <c r="AS34" i="7"/>
  <c r="AD14" i="7"/>
  <c r="AG14" i="7" s="1"/>
  <c r="X59" i="7"/>
  <c r="AJ54" i="7"/>
  <c r="AG42" i="7"/>
  <c r="X5" i="7"/>
  <c r="H31" i="8"/>
  <c r="H37" i="8"/>
  <c r="I28" i="8" l="1"/>
  <c r="AA28" i="7"/>
  <c r="X11" i="7"/>
  <c r="AJ36" i="7"/>
  <c r="AM36" i="7" s="1"/>
  <c r="AJ17" i="7"/>
  <c r="AM17" i="7" s="1"/>
  <c r="AG15" i="7"/>
  <c r="AJ15" i="7" s="1"/>
  <c r="AM15" i="7" s="1"/>
  <c r="AP15" i="7" s="1"/>
  <c r="AJ16" i="7"/>
  <c r="AM16" i="7" s="1"/>
  <c r="AJ37" i="7"/>
  <c r="AG55" i="7"/>
  <c r="X10" i="7"/>
  <c r="Y18" i="6"/>
  <c r="Y15" i="6"/>
  <c r="Y14" i="6"/>
  <c r="Y13" i="6"/>
  <c r="Y25" i="6"/>
  <c r="Y11" i="6"/>
  <c r="Y20" i="6"/>
  <c r="Y8" i="6"/>
  <c r="Z6" i="6"/>
  <c r="Y24" i="6"/>
  <c r="Y19" i="6"/>
  <c r="Y17" i="6"/>
  <c r="Y12" i="6"/>
  <c r="Y22" i="6"/>
  <c r="Y21" i="6"/>
  <c r="Y9" i="6"/>
  <c r="Y16" i="6"/>
  <c r="Y23" i="6"/>
  <c r="Y10" i="6"/>
  <c r="AE14" i="6"/>
  <c r="AE12" i="6"/>
  <c r="AE8" i="6"/>
  <c r="AE22" i="6"/>
  <c r="AE19" i="6"/>
  <c r="AE18" i="6"/>
  <c r="AE9" i="6"/>
  <c r="AE24" i="6"/>
  <c r="AE15" i="6"/>
  <c r="AE20" i="6"/>
  <c r="AE10" i="6"/>
  <c r="AE13" i="6"/>
  <c r="AE25" i="6"/>
  <c r="AE21" i="6"/>
  <c r="AE17" i="6"/>
  <c r="AE16" i="6"/>
  <c r="AF6" i="6"/>
  <c r="AE11" i="6"/>
  <c r="AE23" i="6"/>
  <c r="M18" i="6"/>
  <c r="M13" i="6"/>
  <c r="M10" i="6"/>
  <c r="M23" i="6"/>
  <c r="M22" i="6"/>
  <c r="M25" i="6"/>
  <c r="M11" i="6"/>
  <c r="N6" i="6"/>
  <c r="O6" i="6" s="1"/>
  <c r="M9" i="6"/>
  <c r="M20" i="6"/>
  <c r="M17" i="6"/>
  <c r="M16" i="6"/>
  <c r="M15" i="6"/>
  <c r="M21" i="6"/>
  <c r="M8" i="6"/>
  <c r="M12" i="6"/>
  <c r="M14" i="6"/>
  <c r="M19" i="6"/>
  <c r="M24" i="6"/>
  <c r="AD24" i="7"/>
  <c r="AA51" i="7"/>
  <c r="L20" i="8"/>
  <c r="AH1" i="7"/>
  <c r="K23" i="8"/>
  <c r="K24" i="8" s="1"/>
  <c r="K27" i="8" s="1"/>
  <c r="AM9" i="7"/>
  <c r="AP9" i="7" s="1"/>
  <c r="T20" i="6"/>
  <c r="T11" i="6"/>
  <c r="T13" i="6"/>
  <c r="T8" i="6"/>
  <c r="T23" i="6"/>
  <c r="T24" i="6"/>
  <c r="T25" i="6"/>
  <c r="T19" i="6"/>
  <c r="T18" i="6"/>
  <c r="T12" i="6"/>
  <c r="T14" i="6"/>
  <c r="T21" i="6"/>
  <c r="U6" i="6"/>
  <c r="V6" i="6" s="1"/>
  <c r="T22" i="6"/>
  <c r="T16" i="6"/>
  <c r="T17" i="6"/>
  <c r="T15" i="6"/>
  <c r="T10" i="6"/>
  <c r="T9" i="6"/>
  <c r="I36" i="8"/>
  <c r="AJ35" i="7"/>
  <c r="AM35" i="7" s="1"/>
  <c r="AJ12" i="7"/>
  <c r="AJ45" i="7"/>
  <c r="AM45" i="7"/>
  <c r="AP45" i="7" s="1"/>
  <c r="I25" i="8"/>
  <c r="AC5" i="7"/>
  <c r="Z65" i="7"/>
  <c r="J22" i="8"/>
  <c r="J28" i="8" s="1"/>
  <c r="AS27" i="7"/>
  <c r="AA59" i="7"/>
  <c r="AV20" i="7"/>
  <c r="AG25" i="7"/>
  <c r="AM54" i="7"/>
  <c r="AP54" i="7" s="1"/>
  <c r="AS54" i="7" s="1"/>
  <c r="AV54" i="7" s="1"/>
  <c r="AP4" i="7"/>
  <c r="DI4" i="7"/>
  <c r="AV6" i="7"/>
  <c r="AP35" i="7"/>
  <c r="AS35" i="7" s="1"/>
  <c r="AV35" i="7" s="1"/>
  <c r="AG58" i="7"/>
  <c r="AJ58" i="7" s="1"/>
  <c r="AM58" i="7" s="1"/>
  <c r="AG19" i="7"/>
  <c r="AJ19" i="7" s="1"/>
  <c r="AM19" i="7" s="1"/>
  <c r="AD7" i="7"/>
  <c r="AG57" i="7"/>
  <c r="AM12" i="7"/>
  <c r="AV34" i="7"/>
  <c r="AM13" i="7"/>
  <c r="AJ42" i="7"/>
  <c r="AM42" i="7" s="1"/>
  <c r="AP42" i="7" s="1"/>
  <c r="AM23" i="7"/>
  <c r="AD21" i="7"/>
  <c r="AJ38" i="7"/>
  <c r="AM38" i="7" s="1"/>
  <c r="AS18" i="7"/>
  <c r="AJ14" i="7"/>
  <c r="AP16" i="7"/>
  <c r="AA5" i="7"/>
  <c r="AV53" i="7"/>
  <c r="AM8" i="7"/>
  <c r="AG29" i="7"/>
  <c r="AV48" i="7"/>
  <c r="AS30" i="7"/>
  <c r="AD44" i="7"/>
  <c r="AD41" i="7"/>
  <c r="AY34" i="7"/>
  <c r="I37" i="8" l="1"/>
  <c r="AP36" i="7"/>
  <c r="AS36" i="7" s="1"/>
  <c r="AP58" i="7"/>
  <c r="AA11" i="7"/>
  <c r="AD28" i="7"/>
  <c r="AS15" i="7"/>
  <c r="AV15" i="7" s="1"/>
  <c r="I31" i="8"/>
  <c r="AM37" i="7"/>
  <c r="AP37" i="7" s="1"/>
  <c r="AA10" i="7"/>
  <c r="AD10" i="7" s="1"/>
  <c r="I35" i="8"/>
  <c r="Z19" i="6"/>
  <c r="Z10" i="6"/>
  <c r="Z12" i="6"/>
  <c r="Z25" i="6"/>
  <c r="Z22" i="6"/>
  <c r="Z21" i="6"/>
  <c r="Z9" i="6"/>
  <c r="AA6" i="6"/>
  <c r="Z15" i="6"/>
  <c r="Z23" i="6"/>
  <c r="Z14" i="6"/>
  <c r="Z11" i="6"/>
  <c r="Z17" i="6"/>
  <c r="Z24" i="6"/>
  <c r="Z20" i="6"/>
  <c r="Z18" i="6"/>
  <c r="Z13" i="6"/>
  <c r="Z8" i="6"/>
  <c r="Z16" i="6"/>
  <c r="AD51" i="7"/>
  <c r="AF20" i="6"/>
  <c r="AF13" i="6"/>
  <c r="AF10" i="6"/>
  <c r="AF21" i="6"/>
  <c r="AF23" i="6"/>
  <c r="AF16" i="6"/>
  <c r="AF15" i="6"/>
  <c r="AF25" i="6"/>
  <c r="AF12" i="6"/>
  <c r="AF19" i="6"/>
  <c r="AF9" i="6"/>
  <c r="AF17" i="6"/>
  <c r="AF8" i="6"/>
  <c r="AG6" i="6"/>
  <c r="AF24" i="6"/>
  <c r="AF14" i="6"/>
  <c r="AF22" i="6"/>
  <c r="AF18" i="6"/>
  <c r="AF11" i="6"/>
  <c r="AG24" i="7"/>
  <c r="AJ55" i="7"/>
  <c r="M20" i="8"/>
  <c r="M23" i="8" s="1"/>
  <c r="AK1" i="7"/>
  <c r="L23" i="8"/>
  <c r="L24" i="8" s="1"/>
  <c r="L27" i="8" s="1"/>
  <c r="AS9" i="7"/>
  <c r="AV9" i="7" s="1"/>
  <c r="AY35" i="7"/>
  <c r="BB35" i="7" s="1"/>
  <c r="AG44" i="7"/>
  <c r="AJ44" i="7" s="1"/>
  <c r="J31" i="8"/>
  <c r="AV18" i="7"/>
  <c r="AY18" i="7" s="1"/>
  <c r="AG7" i="7"/>
  <c r="AS4" i="7"/>
  <c r="AJ29" i="7"/>
  <c r="AM29" i="7" s="1"/>
  <c r="AP29" i="7" s="1"/>
  <c r="AP38" i="7"/>
  <c r="AS38" i="7" s="1"/>
  <c r="AP19" i="7"/>
  <c r="AY53" i="7"/>
  <c r="AS16" i="7"/>
  <c r="AV16" i="7" s="1"/>
  <c r="AD59" i="7"/>
  <c r="AG21" i="7"/>
  <c r="AM14" i="7"/>
  <c r="AJ57" i="7"/>
  <c r="AG41" i="7"/>
  <c r="AP23" i="7"/>
  <c r="AY6" i="7"/>
  <c r="BB6" i="7" s="1"/>
  <c r="DL4" i="7"/>
  <c r="AJ25" i="7"/>
  <c r="AM25" i="7" s="1"/>
  <c r="AY20" i="7"/>
  <c r="AV27" i="7"/>
  <c r="J25" i="8"/>
  <c r="AF5" i="7"/>
  <c r="AC65" i="7"/>
  <c r="K22" i="8"/>
  <c r="K28" i="8" s="1"/>
  <c r="BB34" i="7"/>
  <c r="BE34" i="7" s="1"/>
  <c r="BH34" i="7" s="1"/>
  <c r="BK34" i="7" s="1"/>
  <c r="BN34" i="7" s="1"/>
  <c r="BQ34" i="7" s="1"/>
  <c r="BT34" i="7" s="1"/>
  <c r="BW34" i="7" s="1"/>
  <c r="BZ34" i="7" s="1"/>
  <c r="CC34" i="7" s="1"/>
  <c r="CF34" i="7" s="1"/>
  <c r="CI34" i="7" s="1"/>
  <c r="CL34" i="7" s="1"/>
  <c r="CO34" i="7" s="1"/>
  <c r="CR34" i="7" s="1"/>
  <c r="CU34" i="7" s="1"/>
  <c r="AP8" i="7"/>
  <c r="AD5" i="7"/>
  <c r="AV30" i="7"/>
  <c r="AS58" i="7"/>
  <c r="AS45" i="7"/>
  <c r="AS42" i="7"/>
  <c r="AY48" i="7"/>
  <c r="AY54" i="7"/>
  <c r="AP17" i="7"/>
  <c r="BB20" i="7"/>
  <c r="AP12" i="7"/>
  <c r="AP13" i="7"/>
  <c r="AY15" i="7" l="1"/>
  <c r="BB15" i="7" s="1"/>
  <c r="J35" i="8"/>
  <c r="AV36" i="7"/>
  <c r="AY36" i="7" s="1"/>
  <c r="AD11" i="7"/>
  <c r="K35" i="8" s="1"/>
  <c r="AG28" i="7"/>
  <c r="AJ28" i="7" s="1"/>
  <c r="AM28" i="7" s="1"/>
  <c r="BB18" i="7"/>
  <c r="BE18" i="7" s="1"/>
  <c r="J37" i="8"/>
  <c r="J36" i="8"/>
  <c r="AS37" i="7"/>
  <c r="AV37" i="7" s="1"/>
  <c r="AG10" i="7"/>
  <c r="AJ10" i="7" s="1"/>
  <c r="AM10" i="7" s="1"/>
  <c r="AG19" i="6"/>
  <c r="AG14" i="6"/>
  <c r="AG17" i="6"/>
  <c r="AG21" i="6"/>
  <c r="AG24" i="6"/>
  <c r="AG8" i="6"/>
  <c r="AG18" i="6"/>
  <c r="AG9" i="6"/>
  <c r="AG25" i="6"/>
  <c r="AG11" i="6"/>
  <c r="AG10" i="6"/>
  <c r="AG15" i="6"/>
  <c r="AG13" i="6"/>
  <c r="AG22" i="6"/>
  <c r="AG16" i="6"/>
  <c r="AH6" i="6"/>
  <c r="AG12" i="6"/>
  <c r="AG23" i="6"/>
  <c r="AG20" i="6"/>
  <c r="M24" i="8"/>
  <c r="M27" i="8" s="1"/>
  <c r="AJ24" i="7"/>
  <c r="AG51" i="7"/>
  <c r="AA20" i="6"/>
  <c r="AA12" i="6"/>
  <c r="AA14" i="6"/>
  <c r="AA9" i="6"/>
  <c r="AB6" i="6"/>
  <c r="AC6" i="6" s="1"/>
  <c r="AA8" i="6"/>
  <c r="AA24" i="6"/>
  <c r="AA11" i="6"/>
  <c r="AA23" i="6"/>
  <c r="AA21" i="6"/>
  <c r="AA19" i="6"/>
  <c r="AA10" i="6"/>
  <c r="AA17" i="6"/>
  <c r="AA25" i="6"/>
  <c r="AA22" i="6"/>
  <c r="AA13" i="6"/>
  <c r="AA18" i="6"/>
  <c r="AA15" i="6"/>
  <c r="AA16" i="6"/>
  <c r="AM55" i="7"/>
  <c r="AN1" i="7"/>
  <c r="N20" i="8"/>
  <c r="N23" i="8" s="1"/>
  <c r="N24" i="8" s="1"/>
  <c r="N27" i="8" s="1"/>
  <c r="AY9" i="7"/>
  <c r="BB9" i="7" s="1"/>
  <c r="CX34" i="7"/>
  <c r="DA34" i="7" s="1"/>
  <c r="DD34" i="7" s="1"/>
  <c r="DG34" i="7" s="1"/>
  <c r="AY16" i="7"/>
  <c r="BB16" i="7" s="1"/>
  <c r="BE16" i="7" s="1"/>
  <c r="BH16" i="7" s="1"/>
  <c r="BK16" i="7" s="1"/>
  <c r="BN16" i="7" s="1"/>
  <c r="BQ16" i="7" s="1"/>
  <c r="BT16" i="7" s="1"/>
  <c r="BW16" i="7" s="1"/>
  <c r="BZ16" i="7" s="1"/>
  <c r="CC16" i="7" s="1"/>
  <c r="CF16" i="7" s="1"/>
  <c r="CI16" i="7" s="1"/>
  <c r="CL16" i="7" s="1"/>
  <c r="CO16" i="7" s="1"/>
  <c r="CR16" i="7" s="1"/>
  <c r="CU16" i="7" s="1"/>
  <c r="AS29" i="7"/>
  <c r="AV29" i="7" s="1"/>
  <c r="AY29" i="7" s="1"/>
  <c r="BE35" i="7"/>
  <c r="BH35" i="7"/>
  <c r="BK35" i="7" s="1"/>
  <c r="BN35" i="7" s="1"/>
  <c r="BQ35" i="7" s="1"/>
  <c r="BT35" i="7" s="1"/>
  <c r="BW35" i="7" s="1"/>
  <c r="BZ35" i="7" s="1"/>
  <c r="CC35" i="7" s="1"/>
  <c r="CF35" i="7" s="1"/>
  <c r="CI35" i="7" s="1"/>
  <c r="CL35" i="7" s="1"/>
  <c r="CO35" i="7" s="1"/>
  <c r="CR35" i="7" s="1"/>
  <c r="CU35" i="7" s="1"/>
  <c r="AS8" i="7"/>
  <c r="K25" i="8"/>
  <c r="AI5" i="7"/>
  <c r="AF65" i="7"/>
  <c r="L22" i="8"/>
  <c r="L28" i="8" s="1"/>
  <c r="AY27" i="7"/>
  <c r="DO4" i="7"/>
  <c r="BE6" i="7"/>
  <c r="BH6" i="7" s="1"/>
  <c r="AS23" i="7"/>
  <c r="AV4" i="7"/>
  <c r="AY4" i="7" s="1"/>
  <c r="BB4" i="7" s="1"/>
  <c r="AJ7" i="7"/>
  <c r="AS12" i="7"/>
  <c r="AV12" i="7" s="1"/>
  <c r="AY12" i="7" s="1"/>
  <c r="BB12" i="7" s="1"/>
  <c r="BE12" i="7" s="1"/>
  <c r="BH12" i="7" s="1"/>
  <c r="BK12" i="7" s="1"/>
  <c r="BN12" i="7" s="1"/>
  <c r="BQ12" i="7" s="1"/>
  <c r="BT12" i="7" s="1"/>
  <c r="BW12" i="7" s="1"/>
  <c r="BZ12" i="7" s="1"/>
  <c r="CC12" i="7" s="1"/>
  <c r="CF12" i="7" s="1"/>
  <c r="CI12" i="7" s="1"/>
  <c r="CL12" i="7" s="1"/>
  <c r="CO12" i="7" s="1"/>
  <c r="CR12" i="7" s="1"/>
  <c r="CU12" i="7" s="1"/>
  <c r="BB54" i="7"/>
  <c r="AV38" i="7"/>
  <c r="BB48" i="7"/>
  <c r="BB53" i="7"/>
  <c r="BE53" i="7" s="1"/>
  <c r="BH53" i="7" s="1"/>
  <c r="BK53" i="7" s="1"/>
  <c r="BN53" i="7" s="1"/>
  <c r="BQ53" i="7" s="1"/>
  <c r="BT53" i="7" s="1"/>
  <c r="BW53" i="7" s="1"/>
  <c r="BZ53" i="7" s="1"/>
  <c r="CC53" i="7" s="1"/>
  <c r="CF53" i="7" s="1"/>
  <c r="CI53" i="7" s="1"/>
  <c r="CL53" i="7" s="1"/>
  <c r="CO53" i="7" s="1"/>
  <c r="CR53" i="7" s="1"/>
  <c r="CU53" i="7" s="1"/>
  <c r="AV45" i="7"/>
  <c r="AP25" i="7"/>
  <c r="AS25" i="7" s="1"/>
  <c r="BB36" i="7"/>
  <c r="BE36" i="7" s="1"/>
  <c r="BH36" i="7" s="1"/>
  <c r="BK36" i="7" s="1"/>
  <c r="BN36" i="7" s="1"/>
  <c r="BQ36" i="7" s="1"/>
  <c r="BT36" i="7" s="1"/>
  <c r="BW36" i="7" s="1"/>
  <c r="BZ36" i="7" s="1"/>
  <c r="CC36" i="7" s="1"/>
  <c r="CF36" i="7" s="1"/>
  <c r="CI36" i="7" s="1"/>
  <c r="CL36" i="7" s="1"/>
  <c r="CO36" i="7" s="1"/>
  <c r="CR36" i="7" s="1"/>
  <c r="CU36" i="7" s="1"/>
  <c r="AJ41" i="7"/>
  <c r="AM57" i="7"/>
  <c r="AP57" i="7" s="1"/>
  <c r="AG59" i="7"/>
  <c r="BE20" i="7"/>
  <c r="AV58" i="7"/>
  <c r="AY58" i="7" s="1"/>
  <c r="AV42" i="7"/>
  <c r="AS17" i="7"/>
  <c r="AS13" i="7"/>
  <c r="AY30" i="7"/>
  <c r="AP14" i="7"/>
  <c r="AG5" i="7"/>
  <c r="AS19" i="7"/>
  <c r="AV19" i="7" s="1"/>
  <c r="AY19" i="7" s="1"/>
  <c r="BB19" i="7" s="1"/>
  <c r="BE19" i="7" s="1"/>
  <c r="BH19" i="7" s="1"/>
  <c r="BK19" i="7" s="1"/>
  <c r="BN19" i="7" s="1"/>
  <c r="BQ19" i="7" s="1"/>
  <c r="BT19" i="7" s="1"/>
  <c r="BW19" i="7" s="1"/>
  <c r="BZ19" i="7" s="1"/>
  <c r="CC19" i="7" s="1"/>
  <c r="CF19" i="7" s="1"/>
  <c r="CI19" i="7" s="1"/>
  <c r="CL19" i="7" s="1"/>
  <c r="CO19" i="7" s="1"/>
  <c r="CR19" i="7" s="1"/>
  <c r="CU19" i="7" s="1"/>
  <c r="AJ21" i="7"/>
  <c r="AM44" i="7"/>
  <c r="BE15" i="7" l="1"/>
  <c r="BH15" i="7" s="1"/>
  <c r="BB29" i="7"/>
  <c r="BE29" i="7" s="1"/>
  <c r="BH29" i="7" s="1"/>
  <c r="BK29" i="7" s="1"/>
  <c r="BN29" i="7" s="1"/>
  <c r="BQ29" i="7" s="1"/>
  <c r="BT29" i="7" s="1"/>
  <c r="BH18" i="7"/>
  <c r="BK18" i="7" s="1"/>
  <c r="BN18" i="7" s="1"/>
  <c r="BQ18" i="7" s="1"/>
  <c r="BT18" i="7" s="1"/>
  <c r="BW18" i="7" s="1"/>
  <c r="BZ18" i="7" s="1"/>
  <c r="CC18" i="7" s="1"/>
  <c r="CF18" i="7" s="1"/>
  <c r="CI18" i="7" s="1"/>
  <c r="CL18" i="7" s="1"/>
  <c r="CO18" i="7" s="1"/>
  <c r="CR18" i="7" s="1"/>
  <c r="CU18" i="7" s="1"/>
  <c r="G18" i="7" s="1"/>
  <c r="K36" i="8"/>
  <c r="AG11" i="7"/>
  <c r="AJ11" i="7" s="1"/>
  <c r="AM11" i="7" s="1"/>
  <c r="K37" i="8"/>
  <c r="AP28" i="7"/>
  <c r="AS28" i="7" s="1"/>
  <c r="AV28" i="7" s="1"/>
  <c r="K31" i="8"/>
  <c r="AY37" i="7"/>
  <c r="AH19" i="6"/>
  <c r="AK19" i="6" s="1"/>
  <c r="AH8" i="6"/>
  <c r="AH11" i="6"/>
  <c r="AK11" i="6" s="1"/>
  <c r="AH25" i="6"/>
  <c r="AK25" i="6" s="1"/>
  <c r="AH24" i="6"/>
  <c r="AH13" i="6"/>
  <c r="AK13" i="6" s="1"/>
  <c r="AH17" i="6"/>
  <c r="AK17" i="6" s="1"/>
  <c r="AH18" i="6"/>
  <c r="AH12" i="6"/>
  <c r="AK12" i="6" s="1"/>
  <c r="AH22" i="6"/>
  <c r="AK22" i="6" s="1"/>
  <c r="AH16" i="6"/>
  <c r="AK16" i="6" s="1"/>
  <c r="AH9" i="6"/>
  <c r="AK9" i="6" s="1"/>
  <c r="AH15" i="6"/>
  <c r="AK15" i="6" s="1"/>
  <c r="AH23" i="6"/>
  <c r="AK23" i="6" s="1"/>
  <c r="AH20" i="6"/>
  <c r="AK20" i="6" s="1"/>
  <c r="AH14" i="6"/>
  <c r="AK14" i="6" s="1"/>
  <c r="AI6" i="6"/>
  <c r="AJ6" i="6" s="1"/>
  <c r="AH10" i="6"/>
  <c r="AK10" i="6" s="1"/>
  <c r="AH21" i="6"/>
  <c r="AK21" i="6" s="1"/>
  <c r="AK18" i="6"/>
  <c r="AK24" i="6"/>
  <c r="AP55" i="7"/>
  <c r="AS55" i="7" s="1"/>
  <c r="AJ51" i="7"/>
  <c r="AP10" i="7"/>
  <c r="AS10" i="7" s="1"/>
  <c r="AS57" i="7"/>
  <c r="AV57" i="7" s="1"/>
  <c r="AK8" i="6"/>
  <c r="AM24" i="7"/>
  <c r="AQ1" i="7"/>
  <c r="O20" i="8"/>
  <c r="O23" i="8" s="1"/>
  <c r="O24" i="8" s="1"/>
  <c r="O27" i="8" s="1"/>
  <c r="BE9" i="7"/>
  <c r="G19" i="7"/>
  <c r="EA19" i="7"/>
  <c r="CX36" i="7"/>
  <c r="DA36" i="7" s="1"/>
  <c r="DD36" i="7" s="1"/>
  <c r="DG36" i="7" s="1"/>
  <c r="G16" i="7"/>
  <c r="EA16" i="7"/>
  <c r="G12" i="7"/>
  <c r="CX12" i="7"/>
  <c r="DA12" i="7" s="1"/>
  <c r="DD12" i="7" s="1"/>
  <c r="DG12" i="7" s="1"/>
  <c r="CX53" i="7"/>
  <c r="DA53" i="7" s="1"/>
  <c r="DD53" i="7" s="1"/>
  <c r="DG53" i="7" s="1"/>
  <c r="CX35" i="7"/>
  <c r="DA35" i="7" s="1"/>
  <c r="DD35" i="7" s="1"/>
  <c r="DG35" i="7" s="1"/>
  <c r="AP44" i="7"/>
  <c r="AV17" i="7"/>
  <c r="AY17" i="7" s="1"/>
  <c r="BB17" i="7" s="1"/>
  <c r="BE17" i="7" s="1"/>
  <c r="BH17" i="7" s="1"/>
  <c r="BK17" i="7" s="1"/>
  <c r="BN17" i="7" s="1"/>
  <c r="BQ17" i="7" s="1"/>
  <c r="BT17" i="7" s="1"/>
  <c r="BW17" i="7" s="1"/>
  <c r="BZ17" i="7" s="1"/>
  <c r="CC17" i="7" s="1"/>
  <c r="CF17" i="7" s="1"/>
  <c r="CI17" i="7" s="1"/>
  <c r="CL17" i="7" s="1"/>
  <c r="CO17" i="7" s="1"/>
  <c r="CR17" i="7" s="1"/>
  <c r="CU17" i="7" s="1"/>
  <c r="AJ59" i="7"/>
  <c r="AM41" i="7"/>
  <c r="BE54" i="7"/>
  <c r="BH54" i="7" s="1"/>
  <c r="AM7" i="7"/>
  <c r="BE4" i="7"/>
  <c r="BH4" i="7" s="1"/>
  <c r="BK4" i="7" s="1"/>
  <c r="AV23" i="7"/>
  <c r="AY23" i="7" s="1"/>
  <c r="BB23" i="7" s="1"/>
  <c r="BE23" i="7" s="1"/>
  <c r="BH23" i="7" s="1"/>
  <c r="BK23" i="7" s="1"/>
  <c r="BN23" i="7" s="1"/>
  <c r="BQ23" i="7" s="1"/>
  <c r="BT23" i="7" s="1"/>
  <c r="BW23" i="7" s="1"/>
  <c r="BZ23" i="7" s="1"/>
  <c r="CC23" i="7" s="1"/>
  <c r="CF23" i="7" s="1"/>
  <c r="CI23" i="7" s="1"/>
  <c r="CL23" i="7" s="1"/>
  <c r="CO23" i="7" s="1"/>
  <c r="CR23" i="7" s="1"/>
  <c r="CU23" i="7" s="1"/>
  <c r="L25" i="8"/>
  <c r="AL5" i="7"/>
  <c r="AI65" i="7"/>
  <c r="M22" i="8"/>
  <c r="M28" i="8" s="1"/>
  <c r="AJ5" i="7"/>
  <c r="AY57" i="7"/>
  <c r="AV13" i="7"/>
  <c r="AY13" i="7" s="1"/>
  <c r="BB13" i="7" s="1"/>
  <c r="BE13" i="7" s="1"/>
  <c r="BH13" i="7" s="1"/>
  <c r="BK13" i="7" s="1"/>
  <c r="BN13" i="7" s="1"/>
  <c r="BQ13" i="7" s="1"/>
  <c r="BT13" i="7" s="1"/>
  <c r="BW13" i="7" s="1"/>
  <c r="BZ13" i="7" s="1"/>
  <c r="CC13" i="7" s="1"/>
  <c r="CF13" i="7" s="1"/>
  <c r="CI13" i="7" s="1"/>
  <c r="CL13" i="7" s="1"/>
  <c r="CO13" i="7" s="1"/>
  <c r="CR13" i="7" s="1"/>
  <c r="CU13" i="7" s="1"/>
  <c r="AV25" i="7"/>
  <c r="AY25" i="7" s="1"/>
  <c r="BB25" i="7" s="1"/>
  <c r="BE25" i="7" s="1"/>
  <c r="BH25" i="7" s="1"/>
  <c r="BK25" i="7" s="1"/>
  <c r="BN25" i="7" s="1"/>
  <c r="BQ25" i="7" s="1"/>
  <c r="BT25" i="7" s="1"/>
  <c r="BW25" i="7" s="1"/>
  <c r="BZ25" i="7" s="1"/>
  <c r="CC25" i="7" s="1"/>
  <c r="CF25" i="7" s="1"/>
  <c r="CI25" i="7" s="1"/>
  <c r="CL25" i="7" s="1"/>
  <c r="CO25" i="7" s="1"/>
  <c r="CR25" i="7" s="1"/>
  <c r="CU25" i="7" s="1"/>
  <c r="AM21" i="7"/>
  <c r="AP21" i="7" s="1"/>
  <c r="AS21" i="7" s="1"/>
  <c r="L35" i="8"/>
  <c r="L36" i="8"/>
  <c r="L31" i="8"/>
  <c r="L37" i="8"/>
  <c r="BB30" i="7"/>
  <c r="BE30" i="7" s="1"/>
  <c r="BH30" i="7" s="1"/>
  <c r="BB58" i="7"/>
  <c r="BE58" i="7" s="1"/>
  <c r="BH58" i="7" s="1"/>
  <c r="BK58" i="7" s="1"/>
  <c r="BN58" i="7" s="1"/>
  <c r="BQ58" i="7" s="1"/>
  <c r="BT58" i="7" s="1"/>
  <c r="BW58" i="7" s="1"/>
  <c r="BZ58" i="7" s="1"/>
  <c r="BH20" i="7"/>
  <c r="BK20" i="7" s="1"/>
  <c r="BN20" i="7" s="1"/>
  <c r="BQ20" i="7" s="1"/>
  <c r="BT20" i="7" s="1"/>
  <c r="BW20" i="7" s="1"/>
  <c r="BZ20" i="7" s="1"/>
  <c r="CC20" i="7" s="1"/>
  <c r="CF20" i="7" s="1"/>
  <c r="CI20" i="7" s="1"/>
  <c r="CL20" i="7" s="1"/>
  <c r="CO20" i="7" s="1"/>
  <c r="CR20" i="7" s="1"/>
  <c r="CU20" i="7" s="1"/>
  <c r="G20" i="7" s="1"/>
  <c r="AY45" i="7"/>
  <c r="BB45" i="7" s="1"/>
  <c r="BE45" i="7" s="1"/>
  <c r="BH45" i="7" s="1"/>
  <c r="BK45" i="7" s="1"/>
  <c r="BN45" i="7" s="1"/>
  <c r="BQ45" i="7" s="1"/>
  <c r="BT45" i="7" s="1"/>
  <c r="BW45" i="7" s="1"/>
  <c r="BZ45" i="7" s="1"/>
  <c r="CC45" i="7" s="1"/>
  <c r="CF45" i="7" s="1"/>
  <c r="CI45" i="7" s="1"/>
  <c r="CL45" i="7" s="1"/>
  <c r="CO45" i="7" s="1"/>
  <c r="CR45" i="7" s="1"/>
  <c r="CU45" i="7" s="1"/>
  <c r="BE48" i="7"/>
  <c r="BH48" i="7" s="1"/>
  <c r="BK48" i="7" s="1"/>
  <c r="BN48" i="7" s="1"/>
  <c r="BQ48" i="7" s="1"/>
  <c r="BT48" i="7" s="1"/>
  <c r="BW48" i="7" s="1"/>
  <c r="BZ48" i="7" s="1"/>
  <c r="CC48" i="7" s="1"/>
  <c r="CF48" i="7" s="1"/>
  <c r="CI48" i="7" s="1"/>
  <c r="CL48" i="7" s="1"/>
  <c r="CO48" i="7" s="1"/>
  <c r="CR48" i="7" s="1"/>
  <c r="CU48" i="7" s="1"/>
  <c r="DR4" i="7"/>
  <c r="BB27" i="7"/>
  <c r="BE27" i="7" s="1"/>
  <c r="BH27" i="7" s="1"/>
  <c r="BK27" i="7" s="1"/>
  <c r="BN27" i="7" s="1"/>
  <c r="BQ27" i="7" s="1"/>
  <c r="BT27" i="7" s="1"/>
  <c r="BW27" i="7" s="1"/>
  <c r="BZ27" i="7" s="1"/>
  <c r="CC27" i="7" s="1"/>
  <c r="CF27" i="7" s="1"/>
  <c r="CI27" i="7" s="1"/>
  <c r="CL27" i="7" s="1"/>
  <c r="CO27" i="7" s="1"/>
  <c r="CR27" i="7" s="1"/>
  <c r="CU27" i="7" s="1"/>
  <c r="AV8" i="7"/>
  <c r="AY8" i="7" s="1"/>
  <c r="BB8" i="7" s="1"/>
  <c r="BE8" i="7" s="1"/>
  <c r="BH8" i="7" s="1"/>
  <c r="EA34" i="7"/>
  <c r="DJ34" i="7"/>
  <c r="DM34" i="7" s="1"/>
  <c r="DP34" i="7" s="1"/>
  <c r="DS34" i="7" s="1"/>
  <c r="DV34" i="7" s="1"/>
  <c r="DY34" i="7" s="1"/>
  <c r="BK6" i="7"/>
  <c r="BN6" i="7" s="1"/>
  <c r="BQ6" i="7" s="1"/>
  <c r="BT6" i="7" s="1"/>
  <c r="BW6" i="7" s="1"/>
  <c r="BZ6" i="7" s="1"/>
  <c r="CC6" i="7" s="1"/>
  <c r="CF6" i="7" s="1"/>
  <c r="CI6" i="7" s="1"/>
  <c r="CL6" i="7" s="1"/>
  <c r="CO6" i="7" s="1"/>
  <c r="CR6" i="7" s="1"/>
  <c r="CU6" i="7" s="1"/>
  <c r="AY38" i="7"/>
  <c r="AS14" i="7"/>
  <c r="AV14" i="7" s="1"/>
  <c r="AY14" i="7" s="1"/>
  <c r="BB14" i="7" s="1"/>
  <c r="BE14" i="7" s="1"/>
  <c r="BH14" i="7" s="1"/>
  <c r="BK14" i="7" s="1"/>
  <c r="BN14" i="7" s="1"/>
  <c r="BQ14" i="7" s="1"/>
  <c r="BT14" i="7" s="1"/>
  <c r="BW14" i="7" s="1"/>
  <c r="BZ14" i="7" s="1"/>
  <c r="CC14" i="7" s="1"/>
  <c r="CF14" i="7" s="1"/>
  <c r="CI14" i="7" s="1"/>
  <c r="CL14" i="7" s="1"/>
  <c r="CO14" i="7" s="1"/>
  <c r="CR14" i="7" s="1"/>
  <c r="CU14" i="7" s="1"/>
  <c r="AY42" i="7"/>
  <c r="BB42" i="7" s="1"/>
  <c r="BE42" i="7" s="1"/>
  <c r="BH42" i="7" s="1"/>
  <c r="BK42" i="7" s="1"/>
  <c r="BN42" i="7" s="1"/>
  <c r="BQ42" i="7" s="1"/>
  <c r="BT42" i="7" s="1"/>
  <c r="BW42" i="7" s="1"/>
  <c r="BZ42" i="7" s="1"/>
  <c r="CC42" i="7" s="1"/>
  <c r="CF42" i="7" s="1"/>
  <c r="CI42" i="7" s="1"/>
  <c r="CL42" i="7" s="1"/>
  <c r="CO42" i="7" s="1"/>
  <c r="CR42" i="7" s="1"/>
  <c r="CU42" i="7" s="1"/>
  <c r="BW29" i="7" l="1"/>
  <c r="BZ29" i="7" s="1"/>
  <c r="CC29" i="7" s="1"/>
  <c r="CF29" i="7" s="1"/>
  <c r="CI29" i="7" s="1"/>
  <c r="BK15" i="7"/>
  <c r="BN15" i="7" s="1"/>
  <c r="BQ15" i="7" s="1"/>
  <c r="BT15" i="7" s="1"/>
  <c r="BW15" i="7" s="1"/>
  <c r="BZ15" i="7" s="1"/>
  <c r="CC15" i="7" s="1"/>
  <c r="CF15" i="7" s="1"/>
  <c r="CI15" i="7" s="1"/>
  <c r="CL15" i="7" s="1"/>
  <c r="CO15" i="7" s="1"/>
  <c r="CR15" i="7" s="1"/>
  <c r="CU15" i="7" s="1"/>
  <c r="G15" i="7" s="1"/>
  <c r="EA18" i="7"/>
  <c r="AP11" i="7"/>
  <c r="AS11" i="7" s="1"/>
  <c r="AV11" i="7" s="1"/>
  <c r="AY11" i="7" s="1"/>
  <c r="AY28" i="7"/>
  <c r="BB28" i="7" s="1"/>
  <c r="C9" i="6"/>
  <c r="BB37" i="7"/>
  <c r="BE37" i="7" s="1"/>
  <c r="BH37" i="7" s="1"/>
  <c r="BK37" i="7" s="1"/>
  <c r="BN37" i="7" s="1"/>
  <c r="AM51" i="7"/>
  <c r="AV55" i="7"/>
  <c r="AY55" i="7" s="1"/>
  <c r="BB55" i="7" s="1"/>
  <c r="AV10" i="7"/>
  <c r="AY10" i="7" s="1"/>
  <c r="AP24" i="7"/>
  <c r="AS24" i="7" s="1"/>
  <c r="CX20" i="7"/>
  <c r="DA20" i="7" s="1"/>
  <c r="DD20" i="7" s="1"/>
  <c r="DG20" i="7" s="1"/>
  <c r="BK30" i="7"/>
  <c r="BN30" i="7" s="1"/>
  <c r="BQ30" i="7" s="1"/>
  <c r="BT30" i="7" s="1"/>
  <c r="BW30" i="7" s="1"/>
  <c r="BZ30" i="7" s="1"/>
  <c r="CC30" i="7" s="1"/>
  <c r="CF30" i="7" s="1"/>
  <c r="CI30" i="7" s="1"/>
  <c r="CL30" i="7" s="1"/>
  <c r="CO30" i="7" s="1"/>
  <c r="CR30" i="7" s="1"/>
  <c r="CU30" i="7" s="1"/>
  <c r="AV21" i="7"/>
  <c r="AY21" i="7" s="1"/>
  <c r="BB21" i="7" s="1"/>
  <c r="BE21" i="7" s="1"/>
  <c r="BH21" i="7" s="1"/>
  <c r="BK21" i="7" s="1"/>
  <c r="BN21" i="7" s="1"/>
  <c r="BQ21" i="7" s="1"/>
  <c r="BT21" i="7" s="1"/>
  <c r="BW21" i="7" s="1"/>
  <c r="BZ21" i="7" s="1"/>
  <c r="CC21" i="7" s="1"/>
  <c r="CF21" i="7" s="1"/>
  <c r="CI21" i="7" s="1"/>
  <c r="CL21" i="7" s="1"/>
  <c r="CO21" i="7" s="1"/>
  <c r="CR21" i="7" s="1"/>
  <c r="CU21" i="7" s="1"/>
  <c r="G21" i="7" s="1"/>
  <c r="CC58" i="7"/>
  <c r="CF58" i="7" s="1"/>
  <c r="CI58" i="7" s="1"/>
  <c r="CL58" i="7" s="1"/>
  <c r="CO58" i="7" s="1"/>
  <c r="CR58" i="7" s="1"/>
  <c r="CU58" i="7" s="1"/>
  <c r="BK54" i="7"/>
  <c r="BN54" i="7" s="1"/>
  <c r="BQ54" i="7" s="1"/>
  <c r="BT54" i="7" s="1"/>
  <c r="BW54" i="7" s="1"/>
  <c r="BZ54" i="7" s="1"/>
  <c r="CC54" i="7" s="1"/>
  <c r="CF54" i="7" s="1"/>
  <c r="CI54" i="7" s="1"/>
  <c r="CL54" i="7" s="1"/>
  <c r="CO54" i="7" s="1"/>
  <c r="CR54" i="7" s="1"/>
  <c r="CU54" i="7" s="1"/>
  <c r="P20" i="8"/>
  <c r="P23" i="8" s="1"/>
  <c r="P24" i="8" s="1"/>
  <c r="P27" i="8" s="1"/>
  <c r="AT1" i="7"/>
  <c r="BH9" i="7"/>
  <c r="BK9" i="7" s="1"/>
  <c r="G14" i="7"/>
  <c r="CX14" i="7"/>
  <c r="DA14" i="7" s="1"/>
  <c r="DD14" i="7" s="1"/>
  <c r="DG14" i="7" s="1"/>
  <c r="G27" i="7"/>
  <c r="CX27" i="7"/>
  <c r="DA27" i="7" s="1"/>
  <c r="DD27" i="7" s="1"/>
  <c r="DG27" i="7" s="1"/>
  <c r="CX48" i="7"/>
  <c r="DA48" i="7" s="1"/>
  <c r="DD48" i="7" s="1"/>
  <c r="DG48" i="7" s="1"/>
  <c r="EA20" i="7"/>
  <c r="G25" i="7"/>
  <c r="CX25" i="7"/>
  <c r="DA25" i="7" s="1"/>
  <c r="DD25" i="7" s="1"/>
  <c r="DG25" i="7" s="1"/>
  <c r="CX42" i="7"/>
  <c r="DA42" i="7" s="1"/>
  <c r="DD42" i="7" s="1"/>
  <c r="DG42" i="7" s="1"/>
  <c r="G6" i="7"/>
  <c r="CX6" i="7"/>
  <c r="DA6" i="7" s="1"/>
  <c r="DD6" i="7" s="1"/>
  <c r="DG6" i="7" s="1"/>
  <c r="CX45" i="7"/>
  <c r="DA45" i="7" s="1"/>
  <c r="DD45" i="7" s="1"/>
  <c r="DG45" i="7" s="1"/>
  <c r="G13" i="7"/>
  <c r="CX13" i="7"/>
  <c r="DA13" i="7" s="1"/>
  <c r="DD13" i="7" s="1"/>
  <c r="DG13" i="7" s="1"/>
  <c r="G23" i="7"/>
  <c r="CX23" i="7"/>
  <c r="DA23" i="7" s="1"/>
  <c r="DD23" i="7" s="1"/>
  <c r="DG23" i="7" s="1"/>
  <c r="G17" i="7"/>
  <c r="EA17" i="7"/>
  <c r="BB38" i="7"/>
  <c r="BE38" i="7" s="1"/>
  <c r="BH38" i="7" s="1"/>
  <c r="BK38" i="7" s="1"/>
  <c r="BN38" i="7" s="1"/>
  <c r="BQ38" i="7" s="1"/>
  <c r="BT38" i="7" s="1"/>
  <c r="BW38" i="7" s="1"/>
  <c r="BZ38" i="7" s="1"/>
  <c r="CC38" i="7" s="1"/>
  <c r="BB57" i="7"/>
  <c r="BE57" i="7" s="1"/>
  <c r="BH57" i="7" s="1"/>
  <c r="M25" i="8"/>
  <c r="AO5" i="7"/>
  <c r="AL65" i="7"/>
  <c r="N22" i="8"/>
  <c r="N28" i="8" s="1"/>
  <c r="AM5" i="7"/>
  <c r="AP7" i="7"/>
  <c r="AS7" i="7" s="1"/>
  <c r="AV7" i="7" s="1"/>
  <c r="AY7" i="7" s="1"/>
  <c r="BB7" i="7" s="1"/>
  <c r="BE7" i="7" s="1"/>
  <c r="BH7" i="7" s="1"/>
  <c r="BK7" i="7" s="1"/>
  <c r="BN7" i="7" s="1"/>
  <c r="BQ7" i="7" s="1"/>
  <c r="BT7" i="7" s="1"/>
  <c r="BW7" i="7" s="1"/>
  <c r="BZ7" i="7" s="1"/>
  <c r="CC7" i="7" s="1"/>
  <c r="CF7" i="7" s="1"/>
  <c r="CI7" i="7" s="1"/>
  <c r="CL7" i="7" s="1"/>
  <c r="CO7" i="7" s="1"/>
  <c r="CR7" i="7" s="1"/>
  <c r="CU7" i="7" s="1"/>
  <c r="DJ35" i="7"/>
  <c r="DM35" i="7" s="1"/>
  <c r="DP35" i="7" s="1"/>
  <c r="DS35" i="7" s="1"/>
  <c r="DV35" i="7" s="1"/>
  <c r="DY35" i="7" s="1"/>
  <c r="EA35" i="7"/>
  <c r="EA53" i="7"/>
  <c r="DJ53" i="7"/>
  <c r="DM53" i="7" s="1"/>
  <c r="DP53" i="7" s="1"/>
  <c r="DS53" i="7" s="1"/>
  <c r="DV53" i="7" s="1"/>
  <c r="DY53" i="7" s="1"/>
  <c r="AP41" i="7"/>
  <c r="BN4" i="7"/>
  <c r="BK8" i="7"/>
  <c r="BN8" i="7" s="1"/>
  <c r="BQ8" i="7" s="1"/>
  <c r="BT8" i="7" s="1"/>
  <c r="BW8" i="7" s="1"/>
  <c r="BZ8" i="7" s="1"/>
  <c r="CC8" i="7" s="1"/>
  <c r="CF8" i="7" s="1"/>
  <c r="CI8" i="7" s="1"/>
  <c r="CL8" i="7" s="1"/>
  <c r="CO8" i="7" s="1"/>
  <c r="CR8" i="7" s="1"/>
  <c r="CU8" i="7" s="1"/>
  <c r="DU4" i="7"/>
  <c r="M31" i="8"/>
  <c r="M37" i="8"/>
  <c r="M36" i="8"/>
  <c r="M35" i="8"/>
  <c r="AM59" i="7"/>
  <c r="AS44" i="7"/>
  <c r="AV44" i="7" s="1"/>
  <c r="AY44" i="7" s="1"/>
  <c r="BB44" i="7" s="1"/>
  <c r="BE44" i="7" s="1"/>
  <c r="BH44" i="7" s="1"/>
  <c r="BK44" i="7" s="1"/>
  <c r="BN44" i="7" s="1"/>
  <c r="BQ44" i="7" s="1"/>
  <c r="BT44" i="7" s="1"/>
  <c r="BW44" i="7" s="1"/>
  <c r="EA12" i="7"/>
  <c r="DJ12" i="7"/>
  <c r="DM12" i="7" s="1"/>
  <c r="DP12" i="7" s="1"/>
  <c r="DS12" i="7" s="1"/>
  <c r="DV12" i="7" s="1"/>
  <c r="DY12" i="7" s="1"/>
  <c r="DJ36" i="7"/>
  <c r="DM36" i="7" s="1"/>
  <c r="DP36" i="7" s="1"/>
  <c r="DS36" i="7" s="1"/>
  <c r="DV36" i="7" s="1"/>
  <c r="DY36" i="7" s="1"/>
  <c r="EA36" i="7"/>
  <c r="CL29" i="7" l="1"/>
  <c r="CO29" i="7" s="1"/>
  <c r="CR29" i="7" s="1"/>
  <c r="CU29" i="7" s="1"/>
  <c r="CX15" i="7"/>
  <c r="DA15" i="7" s="1"/>
  <c r="DD15" i="7" s="1"/>
  <c r="DG15" i="7" s="1"/>
  <c r="CX29" i="7"/>
  <c r="DA29" i="7" s="1"/>
  <c r="DD29" i="7" s="1"/>
  <c r="DG29" i="7" s="1"/>
  <c r="BB11" i="7"/>
  <c r="BE11" i="7" s="1"/>
  <c r="BH11" i="7" s="1"/>
  <c r="BK11" i="7" s="1"/>
  <c r="BN11" i="7" s="1"/>
  <c r="BQ11" i="7" s="1"/>
  <c r="BT11" i="7" s="1"/>
  <c r="BW11" i="7" s="1"/>
  <c r="BZ11" i="7" s="1"/>
  <c r="CC11" i="7" s="1"/>
  <c r="CF11" i="7" s="1"/>
  <c r="CI11" i="7" s="1"/>
  <c r="CL11" i="7" s="1"/>
  <c r="CO11" i="7" s="1"/>
  <c r="CR11" i="7" s="1"/>
  <c r="CU11" i="7" s="1"/>
  <c r="G11" i="7" s="1"/>
  <c r="CX58" i="7"/>
  <c r="DA58" i="7" s="1"/>
  <c r="DD58" i="7" s="1"/>
  <c r="DG58" i="7" s="1"/>
  <c r="BE28" i="7"/>
  <c r="DJ20" i="7"/>
  <c r="DM20" i="7" s="1"/>
  <c r="DP20" i="7" s="1"/>
  <c r="DS20" i="7" s="1"/>
  <c r="DV20" i="7" s="1"/>
  <c r="DY20" i="7" s="1"/>
  <c r="CX30" i="7"/>
  <c r="DA30" i="7" s="1"/>
  <c r="DD30" i="7" s="1"/>
  <c r="DG30" i="7" s="1"/>
  <c r="BQ37" i="7"/>
  <c r="BT37" i="7" s="1"/>
  <c r="BW37" i="7" s="1"/>
  <c r="BZ37" i="7" s="1"/>
  <c r="CC37" i="7" s="1"/>
  <c r="CF37" i="7" s="1"/>
  <c r="CI37" i="7" s="1"/>
  <c r="CL37" i="7" s="1"/>
  <c r="CX54" i="7"/>
  <c r="DA54" i="7" s="1"/>
  <c r="DD54" i="7" s="1"/>
  <c r="DG54" i="7" s="1"/>
  <c r="CX21" i="7"/>
  <c r="DA21" i="7" s="1"/>
  <c r="DD21" i="7" s="1"/>
  <c r="DG21" i="7" s="1"/>
  <c r="DJ21" i="7" s="1"/>
  <c r="DM21" i="7" s="1"/>
  <c r="DP21" i="7" s="1"/>
  <c r="DS21" i="7" s="1"/>
  <c r="DV21" i="7" s="1"/>
  <c r="DY21" i="7" s="1"/>
  <c r="AV24" i="7"/>
  <c r="AY24" i="7" s="1"/>
  <c r="BB24" i="7" s="1"/>
  <c r="BB10" i="7"/>
  <c r="BE10" i="7" s="1"/>
  <c r="BH10" i="7" s="1"/>
  <c r="BK10" i="7" s="1"/>
  <c r="BN10" i="7" s="1"/>
  <c r="BQ10" i="7" s="1"/>
  <c r="BT10" i="7" s="1"/>
  <c r="BW10" i="7" s="1"/>
  <c r="BZ10" i="7" s="1"/>
  <c r="CC10" i="7" s="1"/>
  <c r="CF10" i="7" s="1"/>
  <c r="CI10" i="7" s="1"/>
  <c r="CL10" i="7" s="1"/>
  <c r="CO10" i="7" s="1"/>
  <c r="CR10" i="7" s="1"/>
  <c r="CU10" i="7" s="1"/>
  <c r="G10" i="7" s="1"/>
  <c r="BE55" i="7"/>
  <c r="AP51" i="7"/>
  <c r="BZ44" i="7"/>
  <c r="CC44" i="7" s="1"/>
  <c r="CF44" i="7" s="1"/>
  <c r="CI44" i="7" s="1"/>
  <c r="CL44" i="7" s="1"/>
  <c r="CO44" i="7" s="1"/>
  <c r="CR44" i="7" s="1"/>
  <c r="CU44" i="7" s="1"/>
  <c r="BK57" i="7"/>
  <c r="BN57" i="7" s="1"/>
  <c r="BQ57" i="7" s="1"/>
  <c r="BT57" i="7" s="1"/>
  <c r="BW57" i="7" s="1"/>
  <c r="BZ57" i="7" s="1"/>
  <c r="CC57" i="7" s="1"/>
  <c r="CF57" i="7" s="1"/>
  <c r="CI57" i="7" s="1"/>
  <c r="CL57" i="7" s="1"/>
  <c r="CO57" i="7" s="1"/>
  <c r="CR57" i="7" s="1"/>
  <c r="CU57" i="7" s="1"/>
  <c r="CF38" i="7"/>
  <c r="CI38" i="7" s="1"/>
  <c r="CL38" i="7" s="1"/>
  <c r="CO38" i="7" s="1"/>
  <c r="CR38" i="7" s="1"/>
  <c r="CU38" i="7" s="1"/>
  <c r="AW1" i="7"/>
  <c r="Q20" i="8"/>
  <c r="Q23" i="8" s="1"/>
  <c r="Q24" i="8" s="1"/>
  <c r="Q27" i="8" s="1"/>
  <c r="BN9" i="7"/>
  <c r="BQ9" i="7" s="1"/>
  <c r="G7" i="7"/>
  <c r="CX7" i="7"/>
  <c r="DA7" i="7" s="1"/>
  <c r="DD7" i="7" s="1"/>
  <c r="DG7" i="7" s="1"/>
  <c r="G8" i="7"/>
  <c r="CX8" i="7"/>
  <c r="DA8" i="7" s="1"/>
  <c r="DD8" i="7" s="1"/>
  <c r="DG8" i="7" s="1"/>
  <c r="AP59" i="7"/>
  <c r="AS59" i="7" s="1"/>
  <c r="AV59" i="7" s="1"/>
  <c r="DX4" i="7"/>
  <c r="N25" i="8"/>
  <c r="AR5" i="7"/>
  <c r="AO65" i="7"/>
  <c r="O22" i="8"/>
  <c r="O28" i="8" s="1"/>
  <c r="AP5" i="7"/>
  <c r="BQ4" i="7"/>
  <c r="AS41" i="7"/>
  <c r="AV41" i="7" s="1"/>
  <c r="AY41" i="7" s="1"/>
  <c r="BB41" i="7" s="1"/>
  <c r="BE41" i="7" s="1"/>
  <c r="BH41" i="7" s="1"/>
  <c r="BK41" i="7" s="1"/>
  <c r="BN41" i="7" s="1"/>
  <c r="BQ41" i="7" s="1"/>
  <c r="BT41" i="7" s="1"/>
  <c r="BW41" i="7" s="1"/>
  <c r="BZ41" i="7" s="1"/>
  <c r="CC41" i="7" s="1"/>
  <c r="CF41" i="7" s="1"/>
  <c r="CI41" i="7" s="1"/>
  <c r="CL41" i="7" s="1"/>
  <c r="N36" i="8"/>
  <c r="N37" i="8"/>
  <c r="N31" i="8"/>
  <c r="N35" i="8"/>
  <c r="DJ29" i="7"/>
  <c r="DM29" i="7" s="1"/>
  <c r="DP29" i="7" s="1"/>
  <c r="DS29" i="7" s="1"/>
  <c r="DV29" i="7" s="1"/>
  <c r="DY29" i="7" s="1"/>
  <c r="EA29" i="7"/>
  <c r="DJ23" i="7"/>
  <c r="DM23" i="7" s="1"/>
  <c r="DP23" i="7" s="1"/>
  <c r="DS23" i="7" s="1"/>
  <c r="DV23" i="7" s="1"/>
  <c r="DY23" i="7" s="1"/>
  <c r="EA23" i="7"/>
  <c r="EA13" i="7"/>
  <c r="DJ13" i="7"/>
  <c r="DM13" i="7" s="1"/>
  <c r="DP13" i="7" s="1"/>
  <c r="DS13" i="7" s="1"/>
  <c r="DV13" i="7" s="1"/>
  <c r="DY13" i="7" s="1"/>
  <c r="DJ45" i="7"/>
  <c r="DM45" i="7" s="1"/>
  <c r="DP45" i="7" s="1"/>
  <c r="DS45" i="7" s="1"/>
  <c r="DV45" i="7" s="1"/>
  <c r="DY45" i="7" s="1"/>
  <c r="EA45" i="7"/>
  <c r="EA6" i="7"/>
  <c r="DJ6" i="7"/>
  <c r="DM6" i="7" s="1"/>
  <c r="DP6" i="7" s="1"/>
  <c r="DS6" i="7" s="1"/>
  <c r="DV6" i="7" s="1"/>
  <c r="DY6" i="7" s="1"/>
  <c r="EA42" i="7"/>
  <c r="DJ42" i="7"/>
  <c r="DM42" i="7" s="1"/>
  <c r="DP42" i="7" s="1"/>
  <c r="DS42" i="7" s="1"/>
  <c r="DV42" i="7" s="1"/>
  <c r="DY42" i="7" s="1"/>
  <c r="EA54" i="7"/>
  <c r="DJ54" i="7"/>
  <c r="DM54" i="7" s="1"/>
  <c r="DP54" i="7" s="1"/>
  <c r="DS54" i="7" s="1"/>
  <c r="DV54" i="7" s="1"/>
  <c r="DY54" i="7" s="1"/>
  <c r="EA25" i="7"/>
  <c r="DJ25" i="7"/>
  <c r="DM25" i="7" s="1"/>
  <c r="DP25" i="7" s="1"/>
  <c r="DS25" i="7" s="1"/>
  <c r="DV25" i="7" s="1"/>
  <c r="DY25" i="7" s="1"/>
  <c r="DJ48" i="7"/>
  <c r="DM48" i="7" s="1"/>
  <c r="DP48" i="7" s="1"/>
  <c r="DS48" i="7" s="1"/>
  <c r="DV48" i="7" s="1"/>
  <c r="DY48" i="7" s="1"/>
  <c r="EA48" i="7"/>
  <c r="DJ27" i="7"/>
  <c r="DM27" i="7" s="1"/>
  <c r="DP27" i="7" s="1"/>
  <c r="DS27" i="7" s="1"/>
  <c r="DV27" i="7" s="1"/>
  <c r="DY27" i="7" s="1"/>
  <c r="EA27" i="7"/>
  <c r="EA14" i="7"/>
  <c r="DJ14" i="7"/>
  <c r="DM14" i="7" s="1"/>
  <c r="DP14" i="7" s="1"/>
  <c r="DS14" i="7" s="1"/>
  <c r="DV14" i="7" s="1"/>
  <c r="DY14" i="7" s="1"/>
  <c r="EA58" i="7"/>
  <c r="DJ58" i="7"/>
  <c r="DM58" i="7" s="1"/>
  <c r="DP58" i="7" s="1"/>
  <c r="DS58" i="7" s="1"/>
  <c r="DV58" i="7" s="1"/>
  <c r="DY58" i="7" s="1"/>
  <c r="EA30" i="7"/>
  <c r="DJ30" i="7"/>
  <c r="DM30" i="7" s="1"/>
  <c r="DP30" i="7" s="1"/>
  <c r="DS30" i="7" s="1"/>
  <c r="DV30" i="7" s="1"/>
  <c r="DY30" i="7" s="1"/>
  <c r="EA21" i="7" l="1"/>
  <c r="DJ15" i="7"/>
  <c r="DM15" i="7" s="1"/>
  <c r="DP15" i="7" s="1"/>
  <c r="DS15" i="7" s="1"/>
  <c r="DV15" i="7" s="1"/>
  <c r="DY15" i="7" s="1"/>
  <c r="EA15" i="7"/>
  <c r="CX44" i="7"/>
  <c r="DA44" i="7" s="1"/>
  <c r="DD44" i="7" s="1"/>
  <c r="DG44" i="7" s="1"/>
  <c r="CX11" i="7"/>
  <c r="CO37" i="7"/>
  <c r="CR37" i="7" s="1"/>
  <c r="CU37" i="7" s="1"/>
  <c r="BH28" i="7"/>
  <c r="CX57" i="7"/>
  <c r="DA57" i="7" s="1"/>
  <c r="DD57" i="7" s="1"/>
  <c r="DG57" i="7" s="1"/>
  <c r="DA11" i="7"/>
  <c r="DD11" i="7" s="1"/>
  <c r="DG11" i="7" s="1"/>
  <c r="CX10" i="7"/>
  <c r="DA10" i="7" s="1"/>
  <c r="DD10" i="7" s="1"/>
  <c r="DG10" i="7" s="1"/>
  <c r="AS51" i="7"/>
  <c r="AV51" i="7" s="1"/>
  <c r="BE24" i="7"/>
  <c r="BH24" i="7" s="1"/>
  <c r="CX38" i="7"/>
  <c r="DA38" i="7" s="1"/>
  <c r="DD38" i="7" s="1"/>
  <c r="DG38" i="7" s="1"/>
  <c r="CO41" i="7"/>
  <c r="AY59" i="7"/>
  <c r="BB59" i="7" s="1"/>
  <c r="BE59" i="7" s="1"/>
  <c r="BH59" i="7" s="1"/>
  <c r="BK59" i="7" s="1"/>
  <c r="BN59" i="7" s="1"/>
  <c r="BQ59" i="7" s="1"/>
  <c r="BT59" i="7" s="1"/>
  <c r="BW59" i="7" s="1"/>
  <c r="BZ59" i="7" s="1"/>
  <c r="CC59" i="7" s="1"/>
  <c r="CF59" i="7" s="1"/>
  <c r="CI59" i="7" s="1"/>
  <c r="CL59" i="7" s="1"/>
  <c r="CO59" i="7" s="1"/>
  <c r="CR59" i="7" s="1"/>
  <c r="CU59" i="7" s="1"/>
  <c r="BH55" i="7"/>
  <c r="R20" i="8"/>
  <c r="R23" i="8" s="1"/>
  <c r="R24" i="8" s="1"/>
  <c r="R27" i="8" s="1"/>
  <c r="AZ1" i="7"/>
  <c r="BT9" i="7"/>
  <c r="BW9" i="7" s="1"/>
  <c r="BZ9" i="7" s="1"/>
  <c r="CC9" i="7" s="1"/>
  <c r="BT4" i="7"/>
  <c r="DJ44" i="7"/>
  <c r="DM44" i="7" s="1"/>
  <c r="DP44" i="7" s="1"/>
  <c r="DS44" i="7" s="1"/>
  <c r="DV44" i="7" s="1"/>
  <c r="DY44" i="7" s="1"/>
  <c r="EA44" i="7"/>
  <c r="O25" i="8"/>
  <c r="AU5" i="7"/>
  <c r="AR65" i="7"/>
  <c r="P22" i="8"/>
  <c r="P28" i="8" s="1"/>
  <c r="AS5" i="7"/>
  <c r="DJ57" i="7"/>
  <c r="DM57" i="7" s="1"/>
  <c r="DP57" i="7" s="1"/>
  <c r="DS57" i="7" s="1"/>
  <c r="DV57" i="7" s="1"/>
  <c r="DY57" i="7" s="1"/>
  <c r="EA57" i="7"/>
  <c r="DJ8" i="7"/>
  <c r="DM8" i="7" s="1"/>
  <c r="DP8" i="7" s="1"/>
  <c r="DS8" i="7" s="1"/>
  <c r="DV8" i="7" s="1"/>
  <c r="DY8" i="7" s="1"/>
  <c r="EA8" i="7"/>
  <c r="O35" i="8"/>
  <c r="O37" i="8"/>
  <c r="O36" i="8"/>
  <c r="O31" i="8"/>
  <c r="EA7" i="7"/>
  <c r="DJ7" i="7"/>
  <c r="DM7" i="7" s="1"/>
  <c r="DP7" i="7" s="1"/>
  <c r="DS7" i="7" s="1"/>
  <c r="DV7" i="7" s="1"/>
  <c r="DY7" i="7" s="1"/>
  <c r="DJ10" i="7" l="1"/>
  <c r="DM10" i="7" s="1"/>
  <c r="DP10" i="7" s="1"/>
  <c r="DS10" i="7" s="1"/>
  <c r="DV10" i="7" s="1"/>
  <c r="DY10" i="7" s="1"/>
  <c r="CX37" i="7"/>
  <c r="DJ11" i="7"/>
  <c r="DM11" i="7" s="1"/>
  <c r="DP11" i="7" s="1"/>
  <c r="DS11" i="7" s="1"/>
  <c r="DV11" i="7" s="1"/>
  <c r="DY11" i="7" s="1"/>
  <c r="BK28" i="7"/>
  <c r="BN28" i="7" s="1"/>
  <c r="BQ28" i="7" s="1"/>
  <c r="BT28" i="7" s="1"/>
  <c r="BW28" i="7" s="1"/>
  <c r="BZ28" i="7" s="1"/>
  <c r="CC28" i="7" s="1"/>
  <c r="CF28" i="7" s="1"/>
  <c r="CI28" i="7" s="1"/>
  <c r="CL28" i="7" s="1"/>
  <c r="CO28" i="7" s="1"/>
  <c r="CR28" i="7" s="1"/>
  <c r="CU28" i="7" s="1"/>
  <c r="G28" i="7" s="1"/>
  <c r="EA11" i="7"/>
  <c r="EA10" i="7"/>
  <c r="DJ38" i="7"/>
  <c r="DM38" i="7" s="1"/>
  <c r="DP38" i="7" s="1"/>
  <c r="DS38" i="7" s="1"/>
  <c r="DV38" i="7" s="1"/>
  <c r="DY38" i="7" s="1"/>
  <c r="BK24" i="7"/>
  <c r="BN24" i="7" s="1"/>
  <c r="BQ24" i="7" s="1"/>
  <c r="BT24" i="7" s="1"/>
  <c r="EA38" i="7"/>
  <c r="DA37" i="7"/>
  <c r="CX59" i="7"/>
  <c r="DA59" i="7" s="1"/>
  <c r="DD59" i="7" s="1"/>
  <c r="DG59" i="7" s="1"/>
  <c r="BK55" i="7"/>
  <c r="CR41" i="7"/>
  <c r="AY51" i="7"/>
  <c r="CF9" i="7"/>
  <c r="CI9" i="7" s="1"/>
  <c r="S20" i="8"/>
  <c r="S23" i="8" s="1"/>
  <c r="S24" i="8" s="1"/>
  <c r="S27" i="8" s="1"/>
  <c r="BC1" i="7"/>
  <c r="P25" i="8"/>
  <c r="AX5" i="7"/>
  <c r="AU65" i="7"/>
  <c r="Q22" i="8"/>
  <c r="Q28" i="8" s="1"/>
  <c r="AV5" i="7"/>
  <c r="P37" i="8"/>
  <c r="P35" i="8"/>
  <c r="P36" i="8"/>
  <c r="P31" i="8"/>
  <c r="BW4" i="7"/>
  <c r="BW24" i="7" l="1"/>
  <c r="BZ24" i="7" s="1"/>
  <c r="CC24" i="7" s="1"/>
  <c r="CF24" i="7" s="1"/>
  <c r="CI24" i="7" s="1"/>
  <c r="CL24" i="7" s="1"/>
  <c r="CO24" i="7" s="1"/>
  <c r="CR24" i="7" s="1"/>
  <c r="CU24" i="7" s="1"/>
  <c r="G24" i="7" s="1"/>
  <c r="DJ59" i="7"/>
  <c r="DM59" i="7" s="1"/>
  <c r="DP59" i="7" s="1"/>
  <c r="DS59" i="7" s="1"/>
  <c r="DV59" i="7" s="1"/>
  <c r="DY59" i="7" s="1"/>
  <c r="CX28" i="7"/>
  <c r="EA59" i="7"/>
  <c r="DD37" i="7"/>
  <c r="BB51" i="7"/>
  <c r="BE51" i="7" s="1"/>
  <c r="BH51" i="7" s="1"/>
  <c r="BN55" i="7"/>
  <c r="BQ55" i="7" s="1"/>
  <c r="BT55" i="7" s="1"/>
  <c r="BW55" i="7" s="1"/>
  <c r="BZ55" i="7" s="1"/>
  <c r="CC55" i="7" s="1"/>
  <c r="CF55" i="7" s="1"/>
  <c r="CI55" i="7" s="1"/>
  <c r="CL55" i="7" s="1"/>
  <c r="CO55" i="7" s="1"/>
  <c r="CR55" i="7" s="1"/>
  <c r="CU55" i="7" s="1"/>
  <c r="CU41" i="7"/>
  <c r="BF1" i="7"/>
  <c r="T20" i="8"/>
  <c r="T23" i="8" s="1"/>
  <c r="T24" i="8" s="1"/>
  <c r="T27" i="8" s="1"/>
  <c r="CL9" i="7"/>
  <c r="BZ4" i="7"/>
  <c r="Q25" i="8"/>
  <c r="BA5" i="7"/>
  <c r="AX65" i="7"/>
  <c r="R22" i="8"/>
  <c r="R28" i="8" s="1"/>
  <c r="AY5" i="7"/>
  <c r="Q31" i="8"/>
  <c r="Q36" i="8"/>
  <c r="Q37" i="8"/>
  <c r="Q35" i="8"/>
  <c r="CX24" i="7" l="1"/>
  <c r="DA24" i="7" s="1"/>
  <c r="DD24" i="7" s="1"/>
  <c r="DG24" i="7" s="1"/>
  <c r="DA28" i="7"/>
  <c r="DG37" i="7"/>
  <c r="EA37" i="7" s="1"/>
  <c r="CX41" i="7"/>
  <c r="DA41" i="7" s="1"/>
  <c r="DD41" i="7" s="1"/>
  <c r="DG41" i="7" s="1"/>
  <c r="BK51" i="7"/>
  <c r="CX55" i="7"/>
  <c r="U20" i="8"/>
  <c r="U23" i="8" s="1"/>
  <c r="U24" i="8" s="1"/>
  <c r="U27" i="8" s="1"/>
  <c r="BI1" i="7"/>
  <c r="CO9" i="7"/>
  <c r="R36" i="8"/>
  <c r="R37" i="8"/>
  <c r="R31" i="8"/>
  <c r="R35" i="8"/>
  <c r="R25" i="8"/>
  <c r="BD5" i="7"/>
  <c r="BA65" i="7"/>
  <c r="S22" i="8"/>
  <c r="S28" i="8" s="1"/>
  <c r="BB5" i="7"/>
  <c r="CC4" i="7"/>
  <c r="DJ24" i="7" l="1"/>
  <c r="DM24" i="7" s="1"/>
  <c r="DP24" i="7" s="1"/>
  <c r="DS24" i="7" s="1"/>
  <c r="DV24" i="7" s="1"/>
  <c r="DY24" i="7" s="1"/>
  <c r="EA24" i="7"/>
  <c r="DD28" i="7"/>
  <c r="DJ37" i="7"/>
  <c r="DM37" i="7" s="1"/>
  <c r="DP37" i="7" s="1"/>
  <c r="DS37" i="7" s="1"/>
  <c r="DV37" i="7" s="1"/>
  <c r="DY37" i="7" s="1"/>
  <c r="DA55" i="7"/>
  <c r="DD55" i="7" s="1"/>
  <c r="DG55" i="7" s="1"/>
  <c r="EA55" i="7" s="1"/>
  <c r="DJ41" i="7"/>
  <c r="DM41" i="7" s="1"/>
  <c r="DP41" i="7" s="1"/>
  <c r="DS41" i="7" s="1"/>
  <c r="DV41" i="7" s="1"/>
  <c r="DY41" i="7" s="1"/>
  <c r="BN51" i="7"/>
  <c r="BQ51" i="7" s="1"/>
  <c r="BT51" i="7" s="1"/>
  <c r="BW51" i="7" s="1"/>
  <c r="BZ51" i="7" s="1"/>
  <c r="CC51" i="7" s="1"/>
  <c r="CF51" i="7" s="1"/>
  <c r="CI51" i="7" s="1"/>
  <c r="CL51" i="7" s="1"/>
  <c r="CO51" i="7" s="1"/>
  <c r="CR51" i="7" s="1"/>
  <c r="CU51" i="7" s="1"/>
  <c r="EA41" i="7"/>
  <c r="BL1" i="7"/>
  <c r="V20" i="8"/>
  <c r="V23" i="8" s="1"/>
  <c r="V24" i="8" s="1"/>
  <c r="V27" i="8" s="1"/>
  <c r="CR9" i="7"/>
  <c r="S35" i="8"/>
  <c r="S36" i="8"/>
  <c r="S31" i="8"/>
  <c r="S37" i="8"/>
  <c r="CF4" i="7"/>
  <c r="S25" i="8"/>
  <c r="BG5" i="7"/>
  <c r="BD65" i="7"/>
  <c r="T22" i="8"/>
  <c r="T28" i="8" s="1"/>
  <c r="BE5" i="7"/>
  <c r="DG28" i="7" l="1"/>
  <c r="DJ28" i="7" s="1"/>
  <c r="DM28" i="7" s="1"/>
  <c r="DP28" i="7" s="1"/>
  <c r="DS28" i="7" s="1"/>
  <c r="DV28" i="7" s="1"/>
  <c r="DY28" i="7" s="1"/>
  <c r="CX51" i="7"/>
  <c r="DA51" i="7" s="1"/>
  <c r="DD51" i="7" s="1"/>
  <c r="DG51" i="7" s="1"/>
  <c r="DJ51" i="7" s="1"/>
  <c r="DM51" i="7" s="1"/>
  <c r="DP51" i="7" s="1"/>
  <c r="DS51" i="7" s="1"/>
  <c r="DV51" i="7" s="1"/>
  <c r="DY51" i="7" s="1"/>
  <c r="DJ55" i="7"/>
  <c r="DM55" i="7" s="1"/>
  <c r="DP55" i="7" s="1"/>
  <c r="DS55" i="7" s="1"/>
  <c r="DV55" i="7" s="1"/>
  <c r="DY55" i="7" s="1"/>
  <c r="BO1" i="7"/>
  <c r="W20" i="8"/>
  <c r="W23" i="8" s="1"/>
  <c r="W24" i="8" s="1"/>
  <c r="W27" i="8" s="1"/>
  <c r="CU9" i="7"/>
  <c r="G9" i="7" s="1"/>
  <c r="T37" i="8"/>
  <c r="T36" i="8"/>
  <c r="T31" i="8"/>
  <c r="T35" i="8"/>
  <c r="T25" i="8"/>
  <c r="BJ5" i="7"/>
  <c r="BG65" i="7"/>
  <c r="U22" i="8"/>
  <c r="U28" i="8" s="1"/>
  <c r="BH5" i="7"/>
  <c r="CI4" i="7"/>
  <c r="EA28" i="7" l="1"/>
  <c r="CX9" i="7"/>
  <c r="DA9" i="7" s="1"/>
  <c r="DD9" i="7" s="1"/>
  <c r="DG9" i="7" s="1"/>
  <c r="EA51" i="7"/>
  <c r="BR1" i="7"/>
  <c r="X20" i="8"/>
  <c r="X23" i="8" s="1"/>
  <c r="X24" i="8" s="1"/>
  <c r="X27" i="8" s="1"/>
  <c r="U36" i="8"/>
  <c r="U31" i="8"/>
  <c r="U35" i="8"/>
  <c r="U37" i="8"/>
  <c r="CL4" i="7"/>
  <c r="U25" i="8"/>
  <c r="BM5" i="7"/>
  <c r="BJ65" i="7"/>
  <c r="V22" i="8"/>
  <c r="V28" i="8" s="1"/>
  <c r="BK5" i="7"/>
  <c r="EA9" i="7" l="1"/>
  <c r="DJ9" i="7"/>
  <c r="DM9" i="7" s="1"/>
  <c r="DP9" i="7" s="1"/>
  <c r="DS9" i="7" s="1"/>
  <c r="DV9" i="7" s="1"/>
  <c r="DY9" i="7" s="1"/>
  <c r="BU1" i="7"/>
  <c r="Y20" i="8"/>
  <c r="Y23" i="8" s="1"/>
  <c r="Y24" i="8" s="1"/>
  <c r="Y27" i="8" s="1"/>
  <c r="V36" i="8"/>
  <c r="V37" i="8"/>
  <c r="V35" i="8"/>
  <c r="V31" i="8"/>
  <c r="V25" i="8"/>
  <c r="BP5" i="7"/>
  <c r="BM65" i="7"/>
  <c r="W22" i="8"/>
  <c r="W28" i="8" s="1"/>
  <c r="BN5" i="7"/>
  <c r="CO4" i="7"/>
  <c r="Z20" i="8" l="1"/>
  <c r="Z23" i="8" s="1"/>
  <c r="Z24" i="8" s="1"/>
  <c r="Z27" i="8" s="1"/>
  <c r="BX1" i="7"/>
  <c r="W37" i="8"/>
  <c r="W35" i="8"/>
  <c r="W31" i="8"/>
  <c r="W36" i="8"/>
  <c r="CR4" i="7"/>
  <c r="W25" i="8"/>
  <c r="BS5" i="7"/>
  <c r="BP65" i="7"/>
  <c r="X22" i="8"/>
  <c r="X28" i="8" s="1"/>
  <c r="BQ5" i="7"/>
  <c r="AA20" i="8" l="1"/>
  <c r="CA1" i="7"/>
  <c r="X25" i="8"/>
  <c r="BV5" i="7"/>
  <c r="BS65" i="7"/>
  <c r="Y22" i="8"/>
  <c r="Y28" i="8" s="1"/>
  <c r="BT5" i="7"/>
  <c r="X31" i="8"/>
  <c r="X35" i="8"/>
  <c r="X36" i="8"/>
  <c r="X37" i="8"/>
  <c r="CU4" i="7"/>
  <c r="AA23" i="8" l="1"/>
  <c r="AA24" i="8" s="1"/>
  <c r="AA27" i="8" s="1"/>
  <c r="CD1" i="7"/>
  <c r="AB20" i="8"/>
  <c r="Y25" i="8"/>
  <c r="BY5" i="7"/>
  <c r="BV65" i="7"/>
  <c r="BW5" i="7"/>
  <c r="Z22" i="8"/>
  <c r="Z28" i="8" s="1"/>
  <c r="G4" i="7"/>
  <c r="CX4" i="7"/>
  <c r="Y37" i="8"/>
  <c r="Y31" i="8"/>
  <c r="Y35" i="8"/>
  <c r="Y36" i="8"/>
  <c r="CG1" i="7" l="1"/>
  <c r="AC20" i="8"/>
  <c r="AC23" i="8" s="1"/>
  <c r="AB23" i="8"/>
  <c r="AB24" i="8" s="1"/>
  <c r="AB27" i="8" s="1"/>
  <c r="Z36" i="8"/>
  <c r="Z31" i="8"/>
  <c r="Z37" i="8"/>
  <c r="Z35" i="8"/>
  <c r="CB5" i="7"/>
  <c r="BY65" i="7"/>
  <c r="BZ5" i="7"/>
  <c r="AA22" i="8"/>
  <c r="AA28" i="8" s="1"/>
  <c r="DA4" i="7"/>
  <c r="Z25" i="8"/>
  <c r="AC24" i="8" l="1"/>
  <c r="AC27" i="8" s="1"/>
  <c r="CJ1" i="7"/>
  <c r="AD20" i="8"/>
  <c r="DD4" i="7"/>
  <c r="AA25" i="8"/>
  <c r="AA35" i="8"/>
  <c r="AA31" i="8"/>
  <c r="AA36" i="8"/>
  <c r="AA37" i="8"/>
  <c r="CE5" i="7"/>
  <c r="CB65" i="7"/>
  <c r="CC5" i="7"/>
  <c r="AB22" i="8"/>
  <c r="AB28" i="8" s="1"/>
  <c r="AE20" i="8" l="1"/>
  <c r="AE23" i="8" s="1"/>
  <c r="CM1" i="7"/>
  <c r="AD23" i="8"/>
  <c r="AD24" i="8" s="1"/>
  <c r="AD27" i="8" s="1"/>
  <c r="AB36" i="8"/>
  <c r="AB31" i="8"/>
  <c r="AB37" i="8"/>
  <c r="AB35" i="8"/>
  <c r="CH5" i="7"/>
  <c r="CE65" i="7"/>
  <c r="CF5" i="7"/>
  <c r="AC22" i="8"/>
  <c r="AC28" i="8" s="1"/>
  <c r="AB25" i="8"/>
  <c r="DG4" i="7"/>
  <c r="AE24" i="8" l="1"/>
  <c r="AE27" i="8" s="1"/>
  <c r="CP1" i="7"/>
  <c r="AF20" i="8"/>
  <c r="AF23" i="8" s="1"/>
  <c r="AF24" i="8" s="1"/>
  <c r="AF27" i="8" s="1"/>
  <c r="EA4" i="7"/>
  <c r="DJ4" i="7"/>
  <c r="AC25" i="8"/>
  <c r="AC36" i="8"/>
  <c r="AC35" i="8"/>
  <c r="AC37" i="8"/>
  <c r="AC31" i="8"/>
  <c r="CK5" i="7"/>
  <c r="CH65" i="7"/>
  <c r="CI5" i="7"/>
  <c r="AD22" i="8"/>
  <c r="AD28" i="8" s="1"/>
  <c r="AG20" i="8" l="1"/>
  <c r="AG23" i="8" s="1"/>
  <c r="AG24" i="8" s="1"/>
  <c r="AG27" i="8" s="1"/>
  <c r="CS1" i="7"/>
  <c r="AD25" i="8"/>
  <c r="DM4" i="7"/>
  <c r="AD37" i="8"/>
  <c r="AD31" i="8"/>
  <c r="AD36" i="8"/>
  <c r="AD35" i="8"/>
  <c r="CN5" i="7"/>
  <c r="CK65" i="7"/>
  <c r="CL5" i="7"/>
  <c r="AE22" i="8"/>
  <c r="AE28" i="8" s="1"/>
  <c r="AH20" i="8" l="1"/>
  <c r="CV1" i="7"/>
  <c r="AE25" i="8"/>
  <c r="AE35" i="8"/>
  <c r="AE37" i="8"/>
  <c r="AE31" i="8"/>
  <c r="AE36" i="8"/>
  <c r="CQ5" i="7"/>
  <c r="CN65" i="7"/>
  <c r="CO5" i="7"/>
  <c r="AF22" i="8"/>
  <c r="AF28" i="8" s="1"/>
  <c r="DP4" i="7"/>
  <c r="AH23" i="8" l="1"/>
  <c r="AH24" i="8" s="1"/>
  <c r="AH27" i="8" s="1"/>
  <c r="CY1" i="7"/>
  <c r="AI20" i="8"/>
  <c r="AI23" i="8" s="1"/>
  <c r="DS4" i="7"/>
  <c r="AF25" i="8"/>
  <c r="AF35" i="8"/>
  <c r="AF31" i="8"/>
  <c r="AF37" i="8"/>
  <c r="AF36" i="8"/>
  <c r="CT5" i="7"/>
  <c r="G16" i="6" s="1"/>
  <c r="CQ65" i="7"/>
  <c r="CR5" i="7"/>
  <c r="AG22" i="8"/>
  <c r="AG28" i="8" s="1"/>
  <c r="AI24" i="8" l="1"/>
  <c r="AI27" i="8" s="1"/>
  <c r="DB1" i="7"/>
  <c r="AJ20" i="8"/>
  <c r="AG25" i="8"/>
  <c r="AG31" i="8"/>
  <c r="AG37" i="8"/>
  <c r="AG36" i="8"/>
  <c r="AG35" i="8"/>
  <c r="CW5" i="7"/>
  <c r="CT65" i="7"/>
  <c r="C8" i="6"/>
  <c r="C10" i="6" s="1"/>
  <c r="CU5" i="7"/>
  <c r="AH22" i="8"/>
  <c r="AH28" i="8" s="1"/>
  <c r="DV4" i="7"/>
  <c r="AK20" i="8" l="1"/>
  <c r="DE1" i="7"/>
  <c r="AJ23" i="8"/>
  <c r="AJ24" i="8" s="1"/>
  <c r="AJ27" i="8" s="1"/>
  <c r="G5" i="7"/>
  <c r="AH37" i="8"/>
  <c r="AH35" i="8"/>
  <c r="AH31" i="8"/>
  <c r="AH36" i="8"/>
  <c r="DY4" i="7"/>
  <c r="AH25" i="8"/>
  <c r="CZ5" i="7"/>
  <c r="CW65" i="7"/>
  <c r="CX5" i="7"/>
  <c r="AI22" i="8"/>
  <c r="AI28" i="8" s="1"/>
  <c r="AK23" i="8" l="1"/>
  <c r="AK24" i="8" s="1"/>
  <c r="AK27" i="8" s="1"/>
  <c r="AL20" i="8"/>
  <c r="DH1" i="7"/>
  <c r="CX65" i="7"/>
  <c r="AI37" i="8"/>
  <c r="AI31" i="8"/>
  <c r="AI35" i="8"/>
  <c r="AI36" i="8"/>
  <c r="AI25" i="8"/>
  <c r="DC5" i="7"/>
  <c r="CZ65" i="7"/>
  <c r="DA5" i="7"/>
  <c r="AJ22" i="8"/>
  <c r="AJ28" i="8" s="1"/>
  <c r="AL23" i="8" l="1"/>
  <c r="AL24" i="8" s="1"/>
  <c r="AL27" i="8" s="1"/>
  <c r="AM20" i="8"/>
  <c r="AM23" i="8" s="1"/>
  <c r="DK1" i="7"/>
  <c r="AJ36" i="8"/>
  <c r="AJ35" i="8"/>
  <c r="DA65" i="7"/>
  <c r="AJ31" i="8"/>
  <c r="AJ37" i="8"/>
  <c r="DF5" i="7"/>
  <c r="DC65" i="7"/>
  <c r="DD5" i="7"/>
  <c r="AK22" i="8"/>
  <c r="AK28" i="8" s="1"/>
  <c r="AJ25" i="8"/>
  <c r="AM24" i="8" l="1"/>
  <c r="AM27" i="8" s="1"/>
  <c r="DN1" i="7"/>
  <c r="AN20" i="8"/>
  <c r="AN23" i="8" s="1"/>
  <c r="AN24" i="8" s="1"/>
  <c r="AN27" i="8" s="1"/>
  <c r="DD65" i="7"/>
  <c r="AK31" i="8"/>
  <c r="AK37" i="8"/>
  <c r="AK36" i="8"/>
  <c r="AK35" i="8"/>
  <c r="DI5" i="7"/>
  <c r="DF65" i="7"/>
  <c r="DG5" i="7"/>
  <c r="AL22" i="8"/>
  <c r="AL28" i="8" s="1"/>
  <c r="AK25" i="8"/>
  <c r="DQ1" i="7" l="1"/>
  <c r="AO20" i="8"/>
  <c r="AO23" i="8" s="1"/>
  <c r="AO24" i="8" s="1"/>
  <c r="AO27" i="8" s="1"/>
  <c r="EA5" i="7"/>
  <c r="AL37" i="8"/>
  <c r="AL33" i="8"/>
  <c r="AL35" i="8"/>
  <c r="DG65" i="7"/>
  <c r="AL31" i="8"/>
  <c r="AL36" i="8"/>
  <c r="DL5" i="7"/>
  <c r="DJ5" i="7"/>
  <c r="DI65" i="7"/>
  <c r="AM22" i="8"/>
  <c r="AM28" i="8" s="1"/>
  <c r="AL25" i="8"/>
  <c r="AC33" i="8" l="1"/>
  <c r="E33" i="8"/>
  <c r="K33" i="8"/>
  <c r="P33" i="8"/>
  <c r="T33" i="8"/>
  <c r="X33" i="8"/>
  <c r="AB33" i="8"/>
  <c r="AD33" i="8"/>
  <c r="N33" i="8"/>
  <c r="V33" i="8"/>
  <c r="O33" i="8"/>
  <c r="W33" i="8"/>
  <c r="I33" i="8"/>
  <c r="M33" i="8"/>
  <c r="Q33" i="8"/>
  <c r="U33" i="8"/>
  <c r="Y33" i="8"/>
  <c r="J33" i="8"/>
  <c r="R33" i="8"/>
  <c r="Z33" i="8"/>
  <c r="L33" i="8"/>
  <c r="S33" i="8"/>
  <c r="AA33" i="8"/>
  <c r="AE33" i="8"/>
  <c r="AF33" i="8"/>
  <c r="AG33" i="8"/>
  <c r="AH33" i="8"/>
  <c r="AI33" i="8"/>
  <c r="AJ33" i="8"/>
  <c r="AK33" i="8"/>
  <c r="AL29" i="8"/>
  <c r="H33" i="8"/>
  <c r="H29" i="8" s="1"/>
  <c r="G33" i="8"/>
  <c r="F33" i="8"/>
  <c r="DT1" i="7"/>
  <c r="AP20" i="8"/>
  <c r="AP23" i="8" s="1"/>
  <c r="AP24" i="8" s="1"/>
  <c r="AP27" i="8" s="1"/>
  <c r="AL32" i="8"/>
  <c r="AM31" i="8"/>
  <c r="AM36" i="8"/>
  <c r="DJ65" i="7"/>
  <c r="AM37" i="8"/>
  <c r="AM35" i="8"/>
  <c r="AM33" i="8"/>
  <c r="AM25" i="8"/>
  <c r="DO5" i="7"/>
  <c r="DM5" i="7"/>
  <c r="DL65" i="7"/>
  <c r="AN22" i="8"/>
  <c r="AN28" i="8" s="1"/>
  <c r="AI29" i="8" l="1"/>
  <c r="AI32" i="8"/>
  <c r="AE29" i="8"/>
  <c r="AE32" i="8"/>
  <c r="Z29" i="8"/>
  <c r="Z32" i="8"/>
  <c r="U29" i="8"/>
  <c r="U32" i="8"/>
  <c r="W29" i="8"/>
  <c r="W32" i="8"/>
  <c r="AD29" i="8"/>
  <c r="AD32" i="8"/>
  <c r="P29" i="8"/>
  <c r="P32" i="8"/>
  <c r="AH29" i="8"/>
  <c r="AH32" i="8"/>
  <c r="AA29" i="8"/>
  <c r="AA32" i="8"/>
  <c r="R29" i="8"/>
  <c r="R32" i="8"/>
  <c r="Q29" i="8"/>
  <c r="Q32" i="8"/>
  <c r="O29" i="8"/>
  <c r="O32" i="8"/>
  <c r="AB29" i="8"/>
  <c r="AB32" i="8"/>
  <c r="K29" i="8"/>
  <c r="K32" i="8"/>
  <c r="AK29" i="8"/>
  <c r="AK32" i="8"/>
  <c r="AG29" i="8"/>
  <c r="AG32" i="8"/>
  <c r="S29" i="8"/>
  <c r="S32" i="8"/>
  <c r="J29" i="8"/>
  <c r="J32" i="8"/>
  <c r="M29" i="8"/>
  <c r="M32" i="8"/>
  <c r="V29" i="8"/>
  <c r="V32" i="8"/>
  <c r="X29" i="8"/>
  <c r="X32" i="8"/>
  <c r="E29" i="8"/>
  <c r="E32" i="8"/>
  <c r="AJ29" i="8"/>
  <c r="AJ32" i="8"/>
  <c r="AF29" i="8"/>
  <c r="AF32" i="8"/>
  <c r="L29" i="8"/>
  <c r="L32" i="8"/>
  <c r="Y29" i="8"/>
  <c r="Y32" i="8"/>
  <c r="I29" i="8"/>
  <c r="I32" i="8"/>
  <c r="N29" i="8"/>
  <c r="N32" i="8"/>
  <c r="T29" i="8"/>
  <c r="T32" i="8"/>
  <c r="AC29" i="8"/>
  <c r="AC32" i="8"/>
  <c r="AM29" i="8"/>
  <c r="H32" i="8"/>
  <c r="F32" i="8"/>
  <c r="F29" i="8"/>
  <c r="G32" i="8"/>
  <c r="G29" i="8"/>
  <c r="AQ20" i="8"/>
  <c r="AQ23" i="8" s="1"/>
  <c r="AQ24" i="8" s="1"/>
  <c r="AQ27" i="8" s="1"/>
  <c r="DW1" i="7"/>
  <c r="AR20" i="8" s="1"/>
  <c r="AM32" i="8"/>
  <c r="AN25" i="8"/>
  <c r="DR5" i="7"/>
  <c r="DP5" i="7"/>
  <c r="DO65" i="7"/>
  <c r="AO22" i="8"/>
  <c r="AO28" i="8" s="1"/>
  <c r="DM65" i="7"/>
  <c r="AN35" i="8"/>
  <c r="AN37" i="8"/>
  <c r="AN31" i="8"/>
  <c r="AN33" i="8"/>
  <c r="AN36" i="8"/>
  <c r="AN29" i="8" l="1"/>
  <c r="AR23" i="8"/>
  <c r="AR24" i="8" s="1"/>
  <c r="AR27" i="8" s="1"/>
  <c r="AN32" i="8"/>
  <c r="DU5" i="7"/>
  <c r="DS5" i="7"/>
  <c r="DR65" i="7"/>
  <c r="AP22" i="8"/>
  <c r="AP28" i="8" s="1"/>
  <c r="AO25" i="8"/>
  <c r="AO33" i="8"/>
  <c r="AO37" i="8"/>
  <c r="DP65" i="7"/>
  <c r="AO31" i="8"/>
  <c r="AO35" i="8"/>
  <c r="AO36" i="8"/>
  <c r="AO29" i="8" l="1"/>
  <c r="AO32" i="8"/>
  <c r="DX5" i="7"/>
  <c r="DV5" i="7"/>
  <c r="DU65" i="7"/>
  <c r="AQ22" i="8"/>
  <c r="AQ28" i="8" s="1"/>
  <c r="AP25" i="8"/>
  <c r="AP33" i="8"/>
  <c r="AP35" i="8"/>
  <c r="DS65" i="7"/>
  <c r="AP37" i="8"/>
  <c r="AP36" i="8"/>
  <c r="AP31" i="8"/>
  <c r="AP29" i="8" l="1"/>
  <c r="AP32" i="8"/>
  <c r="DY5" i="7"/>
  <c r="DX65" i="7"/>
  <c r="AR22" i="8"/>
  <c r="AR28" i="8" s="1"/>
  <c r="AQ25" i="8"/>
  <c r="AQ31" i="8"/>
  <c r="DV65" i="7"/>
  <c r="AQ35" i="8"/>
  <c r="AQ33" i="8"/>
  <c r="AQ29" i="8" s="1"/>
  <c r="AQ36" i="8"/>
  <c r="AQ37" i="8"/>
  <c r="AQ32" i="8" l="1"/>
  <c r="AR25" i="8"/>
  <c r="AR35" i="8"/>
  <c r="AR31" i="8"/>
  <c r="AR37" i="8"/>
  <c r="DY65" i="7"/>
  <c r="AR33" i="8"/>
  <c r="AR36" i="8"/>
  <c r="AR29" i="8" l="1"/>
  <c r="AR32" i="8"/>
</calcChain>
</file>

<file path=xl/comments1.xml><?xml version="1.0" encoding="utf-8"?>
<comments xmlns="http://schemas.openxmlformats.org/spreadsheetml/2006/main">
  <authors>
    <author>James Waletzky</author>
  </authors>
  <commentList>
    <comment ref="E41" authorId="0" shapeId="0">
      <text>
        <r>
          <rPr>
            <sz val="8"/>
            <color indexed="81"/>
            <rFont val="Tahoma"/>
          </rPr>
          <t>Negative number to go back from today's date; positive number to go forward from today's date.</t>
        </r>
      </text>
    </comment>
  </commentList>
</comments>
</file>

<file path=xl/sharedStrings.xml><?xml version="1.0" encoding="utf-8"?>
<sst xmlns="http://schemas.openxmlformats.org/spreadsheetml/2006/main" count="589" uniqueCount="168">
  <si>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</si>
  <si>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</si>
  <si>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</si>
  <si>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</si>
  <si>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</si>
  <si>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</si>
  <si>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</si>
  <si>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</si>
  <si>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</si>
  <si>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</si>
  <si>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</si>
  <si>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</si>
  <si>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</si>
  <si>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</si>
  <si>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</si>
  <si>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</si>
  <si>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</si>
  <si>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</si>
  <si>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</si>
  <si>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</si>
  <si>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</si>
  <si>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</si>
  <si>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</si>
  <si>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</si>
  <si>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</si>
  <si>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</si>
  <si>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</si>
  <si>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</si>
  <si>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</si>
  <si>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</si>
  <si>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</si>
  <si>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</si>
  <si>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</si>
  <si>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</si>
  <si>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</si>
  <si>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</si>
  <si>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</si>
  <si>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</si>
  <si>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</si>
  <si>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</si>
  <si>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</si>
  <si>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</si>
  <si>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</si>
  <si>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</si>
  <si>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</si>
  <si>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</si>
  <si>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</si>
  <si>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</si>
  <si>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</si>
  <si>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</si>
  <si>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</si>
  <si>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</si>
  <si>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</si>
  <si>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</si>
  <si>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</si>
  <si>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</si>
  <si>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</si>
  <si>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</si>
  <si>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</si>
  <si>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</si>
  <si>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</si>
  <si>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</si>
  <si>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</si>
  <si>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</si>
  <si>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</si>
  <si>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</si>
  <si>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</si>
  <si>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</si>
  <si>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</si>
  <si>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</si>
  <si>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</si>
  <si>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</si>
  <si>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</si>
  <si>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</si>
  <si>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</si>
  <si>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</si>
  <si>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</si>
  <si>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</si>
  <si>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</si>
  <si>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</si>
  <si>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</si>
  <si>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</si>
  <si>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</si>
  <si>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</si>
  <si>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</si>
  <si>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</si>
  <si>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</si>
  <si>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</si>
  <si>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</si>
  <si>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</si>
  <si>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</si>
  <si>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</si>
  <si>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</si>
  <si>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</si>
  <si>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</si>
  <si>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</si>
  <si>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</si>
  <si>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</si>
  <si>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</si>
  <si>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</si>
  <si>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</si>
  <si>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</si>
  <si>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</si>
  <si>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</si>
  <si>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</si>
  <si>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</si>
  <si>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</si>
  <si>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</si>
  <si>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</si>
  <si>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</si>
  <si>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</si>
  <si>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Phone</t>
  </si>
  <si>
    <t>Mobile</t>
  </si>
  <si>
    <t>EMAIL ALIAS</t>
  </si>
  <si>
    <t>Name</t>
  </si>
  <si>
    <t>Email</t>
  </si>
  <si>
    <t>Worktype</t>
  </si>
  <si>
    <t>Deliverable area
ID</t>
  </si>
  <si>
    <t>Work item ID</t>
  </si>
  <si>
    <t>Programming</t>
  </si>
  <si>
    <t>Common layer</t>
  </si>
  <si>
    <t>R01</t>
  </si>
  <si>
    <t>Common layer coding</t>
  </si>
  <si>
    <t>Agnes</t>
  </si>
  <si>
    <t>Review</t>
  </si>
  <si>
    <t>Common layer review</t>
  </si>
  <si>
    <t>Coen</t>
  </si>
  <si>
    <t>Data layer</t>
  </si>
  <si>
    <t>Data layer coding</t>
  </si>
  <si>
    <t>Wen</t>
  </si>
  <si>
    <t>Data layer unit test</t>
  </si>
  <si>
    <t>Data layer review</t>
  </si>
  <si>
    <t>Launcher layer</t>
  </si>
  <si>
    <t>Launcher layer coding</t>
  </si>
  <si>
    <t>Yongshi</t>
  </si>
  <si>
    <t>Launcher layer review</t>
  </si>
  <si>
    <t>Bussiness layer</t>
  </si>
  <si>
    <t>Gridmodel coding</t>
  </si>
  <si>
    <t>Testing</t>
  </si>
  <si>
    <t>Gridmodel unit test</t>
  </si>
  <si>
    <t>Gridmodel review</t>
  </si>
  <si>
    <t>Simulator timer</t>
  </si>
  <si>
    <t>Simulator traffic light</t>
  </si>
  <si>
    <t>Simulator traffic light unit test</t>
  </si>
  <si>
    <t>Simulator traffic light review</t>
  </si>
  <si>
    <t>Simulator car</t>
  </si>
  <si>
    <t>Simulator car unit test</t>
  </si>
  <si>
    <t>Simulator car review</t>
  </si>
  <si>
    <t>Simulation pedestrian</t>
  </si>
  <si>
    <t>Simulation pedestrian unit test</t>
  </si>
  <si>
    <t xml:space="preserve">Simulation pedestrian review </t>
  </si>
  <si>
    <t>Prestudy</t>
  </si>
  <si>
    <t>Presentation layer</t>
  </si>
  <si>
    <t>Prestudy WPF + MVVM</t>
  </si>
  <si>
    <t>Designing UI</t>
  </si>
  <si>
    <t>ViewModels in C#</t>
  </si>
  <si>
    <t>ViewModels in View</t>
  </si>
  <si>
    <t>ViewModels in View review</t>
  </si>
  <si>
    <t>UserControls for Components, cars, pedestrians</t>
  </si>
  <si>
    <t>UserControls for Components, cars, pedestrians review</t>
  </si>
  <si>
    <t>General MainWindow</t>
  </si>
  <si>
    <t>Resize grid window</t>
  </si>
  <si>
    <t>Traffic light window</t>
  </si>
  <si>
    <t>Review Presentation layer</t>
  </si>
  <si>
    <t>Alt Email</t>
  </si>
  <si>
    <t>IM Information</t>
  </si>
  <si>
    <t>Complete</t>
  </si>
  <si>
    <t>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</si>
</sst>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409]d\-mmm\-yy;@"/>
    <numFmt numFmtId="165" formatCode="0.0"/>
    <numFmt numFmtId="166" formatCode="0_);[Red]\(0\)"/>
    <numFmt numFmtId="167" formatCode="dd"/>
    <numFmt numFmtId="168" formatCode="ddd"/>
    <numFmt numFmtId="169" formatCode="[$-F800]dddd\,\ mmmm\ dd\,\ yyyy"/>
  </numFmts>
  <fonts count="41" x14ac:knownFonts="1">
    <font>
      <sz val="10"/>
      <name val="Arial"/>
    </font>
    <font>
      <u/>
      <sz val="10"/>
      <color indexed="12"/>
      <name val="Arial"/>
    </font>
    <font>
      <sz val="8"/>
      <name val="Arial"/>
    </font>
    <font>
      <sz val="8"/>
      <color indexed="81"/>
      <name val="Tahoma"/>
    </font>
    <font>
      <sz val="10"/>
      <name val="Arial"/>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u/>
      <sz val="8"/>
      <color indexed="12"/>
      <name val="Tahoma"/>
      <family val="2"/>
    </font>
    <font>
      <sz val="8"/>
      <color indexed="8"/>
      <name val="Tahoma"/>
      <family val="2"/>
    </font>
    <font>
      <sz val="10"/>
      <color indexed="22"/>
      <name val="Tahoma"/>
      <family val="2"/>
    </font>
    <font>
      <sz val="6"/>
      <color indexed="22"/>
      <name val="Tahoma"/>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12"/>
      </left>
      <right/>
      <top/>
      <bottom/>
      <diagonal/>
    </border>
  </borders>
  <cellStyleXfs count="45">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cellStyleXfs>
  <cellXfs count="217">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0" fontId="25" fillId="21" borderId="0" xfId="0" applyFont="1" applyFill="1" applyAlignment="1">
      <alignment horizontal="left"/>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37" fillId="30" borderId="51" xfId="36" applyFont="1" applyFill="1" applyBorder="1" applyAlignment="1" applyProtection="1">
      <alignment horizontal="left"/>
    </xf>
    <xf numFmtId="0" fontId="21" fillId="30" borderId="48" xfId="0" applyFont="1" applyFill="1" applyBorder="1" applyAlignment="1">
      <alignment wrapText="1"/>
    </xf>
    <xf numFmtId="0" fontId="21" fillId="30" borderId="49" xfId="0" applyFont="1" applyFill="1" applyBorder="1" applyAlignment="1">
      <alignment wrapText="1"/>
    </xf>
    <xf numFmtId="0" fontId="38" fillId="30" borderId="50" xfId="0" applyNumberFormat="1" applyFont="1" applyFill="1" applyBorder="1" applyAlignment="1">
      <alignment horizontal="left"/>
    </xf>
    <xf numFmtId="0" fontId="21" fillId="30" borderId="50" xfId="36" applyFont="1" applyFill="1" applyBorder="1" applyAlignment="1" applyProtection="1">
      <alignment horizontal="left"/>
    </xf>
    <xf numFmtId="0" fontId="21" fillId="30" borderId="49" xfId="0" quotePrefix="1" applyFont="1" applyFill="1" applyBorder="1" applyAlignment="1">
      <alignment horizontal="left"/>
    </xf>
    <xf numFmtId="0" fontId="21" fillId="30" borderId="51" xfId="0" applyFont="1" applyFill="1" applyBorder="1" applyAlignment="1">
      <alignment horizontal="left"/>
    </xf>
    <xf numFmtId="0" fontId="21" fillId="30" borderId="50" xfId="36" applyFont="1" applyFill="1" applyBorder="1" applyAlignment="1" applyProtection="1">
      <alignment horizontal="left" wrapText="1"/>
    </xf>
    <xf numFmtId="0" fontId="21" fillId="30" borderId="50" xfId="0" applyFont="1" applyFill="1" applyBorder="1"/>
    <xf numFmtId="0" fontId="21" fillId="30" borderId="48" xfId="0" applyFont="1" applyFill="1" applyBorder="1"/>
    <xf numFmtId="0" fontId="21" fillId="30" borderId="49" xfId="0" applyFont="1" applyFill="1" applyBorder="1"/>
    <xf numFmtId="0" fontId="21" fillId="30" borderId="51" xfId="36" applyFont="1" applyFill="1" applyBorder="1" applyAlignment="1" applyProtection="1">
      <alignment horizontal="left"/>
    </xf>
    <xf numFmtId="0" fontId="21" fillId="30" borderId="55" xfId="0" applyFont="1" applyFill="1" applyBorder="1" applyAlignment="1">
      <alignment wrapText="1"/>
    </xf>
    <xf numFmtId="0" fontId="21" fillId="30" borderId="56" xfId="0" applyFont="1" applyFill="1" applyBorder="1" applyAlignment="1">
      <alignment wrapText="1"/>
    </xf>
    <xf numFmtId="0" fontId="21" fillId="30" borderId="56" xfId="0" quotePrefix="1" applyFont="1" applyFill="1" applyBorder="1" applyAlignment="1">
      <alignment horizontal="left"/>
    </xf>
    <xf numFmtId="0" fontId="21" fillId="30" borderId="57" xfId="0" applyFont="1" applyFill="1" applyBorder="1" applyAlignment="1">
      <alignment horizontal="left"/>
    </xf>
    <xf numFmtId="0" fontId="21" fillId="30" borderId="57" xfId="36" applyFont="1" applyFill="1" applyBorder="1" applyAlignment="1" applyProtection="1">
      <alignment horizontal="left" wrapText="1"/>
    </xf>
    <xf numFmtId="0" fontId="21" fillId="30" borderId="58" xfId="36" applyFont="1" applyFill="1" applyBorder="1" applyAlignment="1" applyProtection="1">
      <alignment horizontal="left"/>
    </xf>
    <xf numFmtId="0" fontId="21" fillId="0" borderId="59" xfId="0" applyFont="1" applyFill="1" applyBorder="1"/>
    <xf numFmtId="0" fontId="21" fillId="0" borderId="60" xfId="0" applyFont="1" applyFill="1" applyBorder="1" applyAlignment="1">
      <alignment horizontal="left" vertical="top"/>
    </xf>
    <xf numFmtId="0" fontId="21" fillId="0" borderId="61" xfId="0" applyFont="1" applyFill="1" applyBorder="1" applyAlignment="1">
      <alignment horizontal="left"/>
    </xf>
    <xf numFmtId="0" fontId="21" fillId="0" borderId="61" xfId="36" applyFont="1" applyFill="1" applyBorder="1" applyAlignment="1" applyProtection="1">
      <alignment horizontal="left" wrapText="1"/>
    </xf>
    <xf numFmtId="0" fontId="21" fillId="0" borderId="62" xfId="0" applyFont="1" applyBorder="1" applyAlignment="1">
      <alignment horizontal="left"/>
    </xf>
    <xf numFmtId="169" fontId="25" fillId="21" borderId="0" xfId="0" applyNumberFormat="1" applyFont="1" applyFill="1"/>
    <xf numFmtId="0" fontId="26" fillId="0" borderId="0" xfId="36" applyFont="1" applyAlignment="1" applyProtection="1"/>
    <xf numFmtId="0" fontId="33"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64" fontId="21" fillId="0" borderId="0" xfId="0" applyNumberFormat="1" applyFont="1" applyBorder="1"/>
    <xf numFmtId="164" fontId="21" fillId="0" borderId="0" xfId="0" applyNumberFormat="1" applyFont="1" applyFill="1" applyBorder="1"/>
    <xf numFmtId="164" fontId="21" fillId="31" borderId="0" xfId="0" applyNumberFormat="1" applyFont="1" applyFill="1" applyBorder="1"/>
    <xf numFmtId="0" fontId="21" fillId="0" borderId="0" xfId="0" applyFont="1"/>
    <xf numFmtId="0" fontId="22" fillId="0" borderId="0" xfId="0" applyFont="1" applyBorder="1"/>
    <xf numFmtId="0" fontId="33" fillId="0" borderId="0" xfId="0" applyFont="1"/>
    <xf numFmtId="0" fontId="21" fillId="31" borderId="0" xfId="0" applyFont="1" applyFill="1"/>
    <xf numFmtId="165" fontId="21" fillId="0" borderId="0" xfId="0" applyNumberFormat="1" applyFont="1" applyFill="1" applyBorder="1"/>
    <xf numFmtId="165" fontId="21" fillId="31" borderId="0" xfId="0" applyNumberFormat="1" applyFont="1" applyFill="1" applyBorder="1"/>
    <xf numFmtId="164" fontId="21" fillId="0" borderId="0" xfId="0" applyNumberFormat="1" applyFont="1"/>
    <xf numFmtId="164"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40" fillId="20" borderId="0" xfId="0" applyFont="1" applyFill="1" applyBorder="1"/>
    <xf numFmtId="0" fontId="39" fillId="0" borderId="0" xfId="0" applyFont="1" applyFill="1" applyBorder="1"/>
    <xf numFmtId="0" fontId="39" fillId="0" borderId="0" xfId="0" applyFont="1" applyBorder="1"/>
    <xf numFmtId="0" fontId="39" fillId="0" borderId="0" xfId="0" applyFont="1"/>
    <xf numFmtId="0" fontId="21" fillId="30" borderId="67" xfId="0" applyFont="1" applyFill="1" applyBorder="1" applyAlignment="1">
      <alignment horizontal="left"/>
    </xf>
    <xf numFmtId="49" fontId="21" fillId="0" borderId="11" xfId="0" applyNumberFormat="1" applyFont="1" applyFill="1" applyBorder="1" applyAlignment="1">
      <alignment horizontal="left"/>
    </xf>
    <xf numFmtId="164" fontId="24" fillId="20" borderId="0" xfId="0" applyNumberFormat="1" applyFont="1" applyFill="1" applyAlignment="1">
      <alignment horizontal="center" vertical="center"/>
    </xf>
    <xf numFmtId="0" fontId="22" fillId="23" borderId="0" xfId="0" applyFont="1" applyFill="1" applyBorder="1" applyAlignment="1">
      <alignment horizontal="right"/>
    </xf>
    <xf numFmtId="0" fontId="25" fillId="0" borderId="0" xfId="0" applyFont="1" applyAlignment="1"/>
    <xf numFmtId="0" fontId="28" fillId="23" borderId="0" xfId="0" applyFont="1" applyFill="1" applyBorder="1" applyAlignment="1">
      <alignment horizontal="right"/>
    </xf>
    <xf numFmtId="0" fontId="39"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3" xfId="0" applyNumberFormat="1" applyFont="1" applyFill="1" applyBorder="1" applyAlignment="1">
      <alignment horizontal="center"/>
    </xf>
    <xf numFmtId="0" fontId="36" fillId="28" borderId="64" xfId="0" applyFont="1" applyFill="1" applyBorder="1" applyAlignment="1">
      <alignment horizontal="center"/>
    </xf>
    <xf numFmtId="0" fontId="36" fillId="28" borderId="65" xfId="0" applyFont="1" applyFill="1" applyBorder="1" applyAlignment="1">
      <alignment horizontal="center"/>
    </xf>
    <xf numFmtId="0" fontId="36" fillId="28" borderId="66"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5">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Emphasis 1" xfId="28"/>
    <cellStyle name="Emphasis 2" xfId="29"/>
    <cellStyle name="Emphasis 3" xfId="30"/>
    <cellStyle name="Sheet Title" xfId="42"/>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超链接" xfId="36" builtinId="8"/>
    <cellStyle name="好" xfId="31" builtinId="26" customBuiltin="1"/>
    <cellStyle name="汇总" xfId="43" builtinId="25" customBuiltin="1"/>
    <cellStyle name="计算" xfId="26" builtinId="22" customBuiltin="1"/>
    <cellStyle name="检查单元格" xfId="27" builtinId="23" customBuiltin="1"/>
    <cellStyle name="警告文本" xfId="44" builtinId="11" customBuiltin="1"/>
    <cellStyle name="链接单元格" xfId="38" builtinId="24" customBuiltin="1"/>
    <cellStyle name="适中" xfId="39" builtinId="28" customBuiltin="1"/>
    <cellStyle name="输出" xfId="41" builtinId="21" customBuiltin="1"/>
    <cellStyle name="输入" xfId="37"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40" builtinId="10" customBuiltin="1"/>
  </cellStyles>
  <dxfs count="135">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709"/>
          <c:y val="6.8650324369831123E-2"/>
        </c:manualLayout>
      </c:layout>
      <c:overlay val="0"/>
    </c:title>
    <c:autoTitleDeleted val="0"/>
    <c:plotArea>
      <c:layout>
        <c:manualLayout>
          <c:layoutTarget val="inner"/>
          <c:xMode val="edge"/>
          <c:yMode val="edge"/>
          <c:x val="0.12226840875659777"/>
          <c:y val="0.24528341504481754"/>
          <c:w val="0.58462818951754747"/>
          <c:h val="0.44151024747613393"/>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numCache>
            </c:numRef>
          </c:val>
          <c:extLst>
            <c:ext xmlns:c16="http://schemas.microsoft.com/office/drawing/2014/chart" uri="{C3380CC4-5D6E-409C-BE32-E72D297353CC}">
              <c16:uniqueId val="{00000000-0E8E-47D3-ADB3-AA68AEC7DF48}"/>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numCache>
            </c:numRef>
          </c:val>
          <c:extLst>
            <c:ext xmlns:c16="http://schemas.microsoft.com/office/drawing/2014/chart" uri="{C3380CC4-5D6E-409C-BE32-E72D297353CC}">
              <c16:uniqueId val="{00000001-0E8E-47D3-ADB3-AA68AEC7DF48}"/>
            </c:ext>
          </c:extLst>
        </c:ser>
        <c:ser>
          <c:idx val="2"/>
          <c:order val="2"/>
          <c:tx>
            <c:v>Pending</c:v>
          </c:tx>
          <c:spPr>
            <a:solidFill>
              <a:schemeClr val="bg1"/>
            </a:solidFill>
          </c:spPr>
          <c:val>
            <c:numRef>
              <c:f>Analysis!$E$35:$AH$35</c:f>
              <c:numCache>
                <c:formatCode>General</c:formatCode>
                <c:ptCount val="30"/>
                <c:pt idx="0">
                  <c:v>29</c:v>
                </c:pt>
                <c:pt idx="1">
                  <c:v>29</c:v>
                </c:pt>
                <c:pt idx="2">
                  <c:v>29</c:v>
                </c:pt>
                <c:pt idx="3">
                  <c:v>29</c:v>
                </c:pt>
                <c:pt idx="4">
                  <c:v>29</c:v>
                </c:pt>
                <c:pt idx="5">
                  <c:v>29</c:v>
                </c:pt>
                <c:pt idx="6">
                  <c:v>29</c:v>
                </c:pt>
                <c:pt idx="7">
                  <c:v>29</c:v>
                </c:pt>
                <c:pt idx="8">
                  <c:v>29</c:v>
                </c:pt>
                <c:pt idx="9">
                  <c:v>29</c:v>
                </c:pt>
                <c:pt idx="10">
                  <c:v>29</c:v>
                </c:pt>
                <c:pt idx="11">
                  <c:v>29</c:v>
                </c:pt>
                <c:pt idx="12">
                  <c:v>29</c:v>
                </c:pt>
                <c:pt idx="13">
                  <c:v>29</c:v>
                </c:pt>
                <c:pt idx="14">
                  <c:v>29</c:v>
                </c:pt>
                <c:pt idx="15">
                  <c:v>29</c:v>
                </c:pt>
                <c:pt idx="16">
                  <c:v>29</c:v>
                </c:pt>
                <c:pt idx="17">
                  <c:v>29</c:v>
                </c:pt>
                <c:pt idx="18">
                  <c:v>29</c:v>
                </c:pt>
                <c:pt idx="19">
                  <c:v>29</c:v>
                </c:pt>
                <c:pt idx="20">
                  <c:v>29</c:v>
                </c:pt>
                <c:pt idx="21">
                  <c:v>29</c:v>
                </c:pt>
                <c:pt idx="22">
                  <c:v>29</c:v>
                </c:pt>
                <c:pt idx="23">
                  <c:v>29</c:v>
                </c:pt>
                <c:pt idx="24">
                  <c:v>29</c:v>
                </c:pt>
                <c:pt idx="25">
                  <c:v>29</c:v>
                </c:pt>
                <c:pt idx="26">
                  <c:v>29</c:v>
                </c:pt>
                <c:pt idx="27">
                  <c:v>29</c:v>
                </c:pt>
                <c:pt idx="28">
                  <c:v>29</c:v>
                </c:pt>
                <c:pt idx="29">
                  <c:v>29</c:v>
                </c:pt>
              </c:numCache>
            </c:numRef>
          </c:val>
          <c:extLst>
            <c:ext xmlns:c16="http://schemas.microsoft.com/office/drawing/2014/chart" uri="{C3380CC4-5D6E-409C-BE32-E72D297353CC}">
              <c16:uniqueId val="{00000002-0E8E-47D3-ADB3-AA68AEC7DF48}"/>
            </c:ext>
          </c:extLst>
        </c:ser>
        <c:dLbls>
          <c:showLegendKey val="0"/>
          <c:showVal val="0"/>
          <c:showCatName val="0"/>
          <c:showSerName val="0"/>
          <c:showPercent val="0"/>
          <c:showBubbleSize val="0"/>
        </c:dLbls>
        <c:axId val="43595648"/>
        <c:axId val="104347136"/>
      </c:areaChart>
      <c:catAx>
        <c:axId val="43595648"/>
        <c:scaling>
          <c:orientation val="minMax"/>
        </c:scaling>
        <c:delete val="0"/>
        <c:axPos val="b"/>
        <c:title>
          <c:tx>
            <c:rich>
              <a:bodyPr/>
              <a:lstStyle/>
              <a:p>
                <a:pPr>
                  <a:defRPr/>
                </a:pPr>
                <a:r>
                  <a:rPr lang="en-US"/>
                  <a:t>Sprint Days</a:t>
                </a:r>
              </a:p>
            </c:rich>
          </c:tx>
          <c:layout>
            <c:manualLayout>
              <c:xMode val="edge"/>
              <c:yMode val="edge"/>
              <c:x val="0.38552437223042862"/>
              <c:y val="0.8605769230769228"/>
            </c:manualLayout>
          </c:layout>
          <c:overlay val="0"/>
        </c:title>
        <c:numFmt formatCode="General" sourceLinked="0"/>
        <c:majorTickMark val="out"/>
        <c:minorTickMark val="none"/>
        <c:tickLblPos val="nextTo"/>
        <c:txPr>
          <a:bodyPr rot="-2700000" vert="horz"/>
          <a:lstStyle/>
          <a:p>
            <a:pPr>
              <a:defRPr/>
            </a:pPr>
            <a:endParaRPr lang="en-US"/>
          </a:p>
        </c:txPr>
        <c:crossAx val="104347136"/>
        <c:crosses val="autoZero"/>
        <c:auto val="1"/>
        <c:lblAlgn val="ctr"/>
        <c:lblOffset val="100"/>
        <c:tickLblSkip val="3"/>
        <c:tickMarkSkip val="1"/>
        <c:noMultiLvlLbl val="1"/>
      </c:catAx>
      <c:valAx>
        <c:axId val="104347136"/>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43595648"/>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222"/>
          <c:h val="0.4674709057594218"/>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27E-2"/>
        </c:manualLayout>
      </c:layout>
      <c:overlay val="0"/>
    </c:title>
    <c:autoTitleDeleted val="0"/>
    <c:plotArea>
      <c:layout>
        <c:manualLayout>
          <c:layoutTarget val="inner"/>
          <c:xMode val="edge"/>
          <c:yMode val="edge"/>
          <c:x val="0.1191861310993504"/>
          <c:y val="0.1729323308270678"/>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136</c:v>
                </c:pt>
                <c:pt idx="1">
                  <c:v>136</c:v>
                </c:pt>
                <c:pt idx="2">
                  <c:v>136</c:v>
                </c:pt>
                <c:pt idx="3">
                  <c:v>136</c:v>
                </c:pt>
                <c:pt idx="4">
                  <c:v>136</c:v>
                </c:pt>
                <c:pt idx="5">
                  <c:v>136</c:v>
                </c:pt>
                <c:pt idx="6">
                  <c:v>136</c:v>
                </c:pt>
                <c:pt idx="7">
                  <c:v>136</c:v>
                </c:pt>
                <c:pt idx="8">
                  <c:v>136</c:v>
                </c:pt>
                <c:pt idx="9">
                  <c:v>136</c:v>
                </c:pt>
                <c:pt idx="10">
                  <c:v>136</c:v>
                </c:pt>
                <c:pt idx="11">
                  <c:v>136</c:v>
                </c:pt>
                <c:pt idx="12">
                  <c:v>136</c:v>
                </c:pt>
                <c:pt idx="13">
                  <c:v>136</c:v>
                </c:pt>
                <c:pt idx="14">
                  <c:v>136</c:v>
                </c:pt>
                <c:pt idx="15">
                  <c:v>136</c:v>
                </c:pt>
                <c:pt idx="16">
                  <c:v>136</c:v>
                </c:pt>
                <c:pt idx="17">
                  <c:v>136</c:v>
                </c:pt>
                <c:pt idx="18">
                  <c:v>136</c:v>
                </c:pt>
                <c:pt idx="19">
                  <c:v>136</c:v>
                </c:pt>
                <c:pt idx="20">
                  <c:v>136</c:v>
                </c:pt>
                <c:pt idx="21">
                  <c:v>136</c:v>
                </c:pt>
                <c:pt idx="22">
                  <c:v>136</c:v>
                </c:pt>
                <c:pt idx="23">
                  <c:v>136</c:v>
                </c:pt>
                <c:pt idx="24">
                  <c:v>136</c:v>
                </c:pt>
                <c:pt idx="25">
                  <c:v>136</c:v>
                </c:pt>
                <c:pt idx="26">
                  <c:v>136</c:v>
                </c:pt>
                <c:pt idx="27">
                  <c:v>136</c:v>
                </c:pt>
                <c:pt idx="28">
                  <c:v>136</c:v>
                </c:pt>
                <c:pt idx="29">
                  <c:v>136</c:v>
                </c:pt>
              </c:numCache>
            </c:numRef>
          </c:val>
          <c:extLst>
            <c:ext xmlns:c16="http://schemas.microsoft.com/office/drawing/2014/chart" uri="{C3380CC4-5D6E-409C-BE32-E72D297353CC}">
              <c16:uniqueId val="{00000000-A726-4F31-B256-F5F6E46E4E04}"/>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32</c:v>
                </c:pt>
                <c:pt idx="1">
                  <c:v>32</c:v>
                </c:pt>
                <c:pt idx="2">
                  <c:v>32</c:v>
                </c:pt>
                <c:pt idx="3">
                  <c:v>32</c:v>
                </c:pt>
                <c:pt idx="4">
                  <c:v>32</c:v>
                </c:pt>
                <c:pt idx="5">
                  <c:v>32</c:v>
                </c:pt>
                <c:pt idx="6">
                  <c:v>32</c:v>
                </c:pt>
                <c:pt idx="7">
                  <c:v>32</c:v>
                </c:pt>
                <c:pt idx="8">
                  <c:v>32</c:v>
                </c:pt>
                <c:pt idx="9">
                  <c:v>32</c:v>
                </c:pt>
                <c:pt idx="10">
                  <c:v>32</c:v>
                </c:pt>
                <c:pt idx="11">
                  <c:v>32</c:v>
                </c:pt>
                <c:pt idx="12">
                  <c:v>32</c:v>
                </c:pt>
                <c:pt idx="13">
                  <c:v>32</c:v>
                </c:pt>
                <c:pt idx="14">
                  <c:v>32</c:v>
                </c:pt>
                <c:pt idx="15">
                  <c:v>32</c:v>
                </c:pt>
                <c:pt idx="16">
                  <c:v>32</c:v>
                </c:pt>
                <c:pt idx="17">
                  <c:v>32</c:v>
                </c:pt>
                <c:pt idx="18">
                  <c:v>32</c:v>
                </c:pt>
                <c:pt idx="19">
                  <c:v>32</c:v>
                </c:pt>
                <c:pt idx="20">
                  <c:v>32</c:v>
                </c:pt>
                <c:pt idx="21">
                  <c:v>32</c:v>
                </c:pt>
                <c:pt idx="22">
                  <c:v>32</c:v>
                </c:pt>
                <c:pt idx="23">
                  <c:v>32</c:v>
                </c:pt>
                <c:pt idx="24">
                  <c:v>32</c:v>
                </c:pt>
                <c:pt idx="25">
                  <c:v>32</c:v>
                </c:pt>
                <c:pt idx="26">
                  <c:v>32</c:v>
                </c:pt>
                <c:pt idx="27">
                  <c:v>32</c:v>
                </c:pt>
                <c:pt idx="28">
                  <c:v>32</c:v>
                </c:pt>
                <c:pt idx="29">
                  <c:v>32</c:v>
                </c:pt>
              </c:numCache>
            </c:numRef>
          </c:val>
          <c:extLst>
            <c:ext xmlns:c16="http://schemas.microsoft.com/office/drawing/2014/chart" uri="{C3380CC4-5D6E-409C-BE32-E72D297353CC}">
              <c16:uniqueId val="{00000001-A726-4F31-B256-F5F6E46E4E04}"/>
            </c:ext>
          </c:extLst>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269</c:v>
                </c:pt>
                <c:pt idx="1">
                  <c:v>269</c:v>
                </c:pt>
                <c:pt idx="2">
                  <c:v>269</c:v>
                </c:pt>
                <c:pt idx="3">
                  <c:v>269</c:v>
                </c:pt>
                <c:pt idx="4">
                  <c:v>269</c:v>
                </c:pt>
                <c:pt idx="5">
                  <c:v>269</c:v>
                </c:pt>
                <c:pt idx="6">
                  <c:v>269</c:v>
                </c:pt>
                <c:pt idx="7">
                  <c:v>269</c:v>
                </c:pt>
                <c:pt idx="8">
                  <c:v>269</c:v>
                </c:pt>
                <c:pt idx="9">
                  <c:v>269</c:v>
                </c:pt>
                <c:pt idx="10">
                  <c:v>269</c:v>
                </c:pt>
                <c:pt idx="11">
                  <c:v>269</c:v>
                </c:pt>
                <c:pt idx="12">
                  <c:v>269</c:v>
                </c:pt>
                <c:pt idx="13">
                  <c:v>269</c:v>
                </c:pt>
                <c:pt idx="14">
                  <c:v>269</c:v>
                </c:pt>
                <c:pt idx="15">
                  <c:v>269</c:v>
                </c:pt>
                <c:pt idx="16">
                  <c:v>269</c:v>
                </c:pt>
                <c:pt idx="17">
                  <c:v>269</c:v>
                </c:pt>
                <c:pt idx="18">
                  <c:v>269</c:v>
                </c:pt>
                <c:pt idx="19">
                  <c:v>269</c:v>
                </c:pt>
                <c:pt idx="20">
                  <c:v>269</c:v>
                </c:pt>
                <c:pt idx="21">
                  <c:v>269</c:v>
                </c:pt>
                <c:pt idx="22">
                  <c:v>269</c:v>
                </c:pt>
                <c:pt idx="23">
                  <c:v>269</c:v>
                </c:pt>
                <c:pt idx="24">
                  <c:v>269</c:v>
                </c:pt>
                <c:pt idx="25">
                  <c:v>269</c:v>
                </c:pt>
                <c:pt idx="26">
                  <c:v>269</c:v>
                </c:pt>
                <c:pt idx="27">
                  <c:v>269</c:v>
                </c:pt>
                <c:pt idx="28">
                  <c:v>269</c:v>
                </c:pt>
                <c:pt idx="29">
                  <c:v>269</c:v>
                </c:pt>
              </c:numCache>
            </c:numRef>
          </c:val>
          <c:extLst>
            <c:ext xmlns:c16="http://schemas.microsoft.com/office/drawing/2014/chart" uri="{C3380CC4-5D6E-409C-BE32-E72D297353CC}">
              <c16:uniqueId val="{00000002-A726-4F31-B256-F5F6E46E4E04}"/>
            </c:ext>
          </c:extLst>
        </c:ser>
        <c:dLbls>
          <c:showLegendKey val="0"/>
          <c:showVal val="0"/>
          <c:showCatName val="0"/>
          <c:showSerName val="0"/>
          <c:showPercent val="0"/>
          <c:showBubbleSize val="0"/>
        </c:dLbls>
        <c:axId val="42843136"/>
        <c:axId val="42857600"/>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285</c:v>
                </c:pt>
                <c:pt idx="1">
                  <c:v>285</c:v>
                </c:pt>
                <c:pt idx="2">
                  <c:v>285</c:v>
                </c:pt>
                <c:pt idx="3">
                  <c:v>285</c:v>
                </c:pt>
                <c:pt idx="4">
                  <c:v>285</c:v>
                </c:pt>
                <c:pt idx="5">
                  <c:v>285</c:v>
                </c:pt>
                <c:pt idx="6">
                  <c:v>285</c:v>
                </c:pt>
                <c:pt idx="7">
                  <c:v>285</c:v>
                </c:pt>
                <c:pt idx="8">
                  <c:v>285</c:v>
                </c:pt>
                <c:pt idx="9">
                  <c:v>285</c:v>
                </c:pt>
                <c:pt idx="10">
                  <c:v>285</c:v>
                </c:pt>
                <c:pt idx="11">
                  <c:v>285</c:v>
                </c:pt>
                <c:pt idx="12">
                  <c:v>285</c:v>
                </c:pt>
                <c:pt idx="13">
                  <c:v>285</c:v>
                </c:pt>
                <c:pt idx="14">
                  <c:v>285</c:v>
                </c:pt>
                <c:pt idx="15">
                  <c:v>285</c:v>
                </c:pt>
                <c:pt idx="16">
                  <c:v>285</c:v>
                </c:pt>
                <c:pt idx="17">
                  <c:v>285</c:v>
                </c:pt>
                <c:pt idx="18">
                  <c:v>285</c:v>
                </c:pt>
                <c:pt idx="19">
                  <c:v>285</c:v>
                </c:pt>
                <c:pt idx="20">
                  <c:v>285</c:v>
                </c:pt>
                <c:pt idx="21">
                  <c:v>285</c:v>
                </c:pt>
                <c:pt idx="22">
                  <c:v>285</c:v>
                </c:pt>
                <c:pt idx="23">
                  <c:v>285</c:v>
                </c:pt>
                <c:pt idx="24">
                  <c:v>285</c:v>
                </c:pt>
                <c:pt idx="25">
                  <c:v>285</c:v>
                </c:pt>
                <c:pt idx="26">
                  <c:v>285</c:v>
                </c:pt>
                <c:pt idx="27">
                  <c:v>285</c:v>
                </c:pt>
                <c:pt idx="28">
                  <c:v>285</c:v>
                </c:pt>
                <c:pt idx="29">
                  <c:v>285</c:v>
                </c:pt>
              </c:numCache>
            </c:numRef>
          </c:val>
          <c:smooth val="0"/>
          <c:extLst>
            <c:ext xmlns:c16="http://schemas.microsoft.com/office/drawing/2014/chart" uri="{C3380CC4-5D6E-409C-BE32-E72D297353CC}">
              <c16:uniqueId val="{00000003-A726-4F31-B256-F5F6E46E4E04}"/>
            </c:ext>
          </c:extLst>
        </c:ser>
        <c:ser>
          <c:idx val="4"/>
          <c:order val="4"/>
          <c:tx>
            <c:v>Effort</c:v>
          </c:tx>
          <c:spPr>
            <a:ln>
              <a:solidFill>
                <a:schemeClr val="accent1"/>
              </a:solidFill>
            </a:ln>
          </c:spPr>
          <c:val>
            <c:numRef>
              <c:f>Analysis!$E$24:$AH$24</c:f>
              <c:numCache>
                <c:formatCode>General</c:formatCode>
                <c:ptCount val="30"/>
                <c:pt idx="0">
                  <c:v>152</c:v>
                </c:pt>
                <c:pt idx="1">
                  <c:v>152</c:v>
                </c:pt>
                <c:pt idx="2">
                  <c:v>152</c:v>
                </c:pt>
                <c:pt idx="3">
                  <c:v>152</c:v>
                </c:pt>
                <c:pt idx="4">
                  <c:v>152</c:v>
                </c:pt>
                <c:pt idx="5">
                  <c:v>152</c:v>
                </c:pt>
                <c:pt idx="6">
                  <c:v>152</c:v>
                </c:pt>
                <c:pt idx="7">
                  <c:v>152</c:v>
                </c:pt>
                <c:pt idx="8">
                  <c:v>152</c:v>
                </c:pt>
                <c:pt idx="9">
                  <c:v>152</c:v>
                </c:pt>
                <c:pt idx="10">
                  <c:v>152</c:v>
                </c:pt>
                <c:pt idx="11">
                  <c:v>152</c:v>
                </c:pt>
                <c:pt idx="12">
                  <c:v>152</c:v>
                </c:pt>
                <c:pt idx="13">
                  <c:v>152</c:v>
                </c:pt>
                <c:pt idx="14">
                  <c:v>152</c:v>
                </c:pt>
                <c:pt idx="15">
                  <c:v>152</c:v>
                </c:pt>
                <c:pt idx="16">
                  <c:v>152</c:v>
                </c:pt>
                <c:pt idx="17">
                  <c:v>152</c:v>
                </c:pt>
                <c:pt idx="18">
                  <c:v>152</c:v>
                </c:pt>
                <c:pt idx="19">
                  <c:v>152</c:v>
                </c:pt>
                <c:pt idx="20">
                  <c:v>152</c:v>
                </c:pt>
                <c:pt idx="21">
                  <c:v>152</c:v>
                </c:pt>
                <c:pt idx="22">
                  <c:v>152</c:v>
                </c:pt>
                <c:pt idx="23">
                  <c:v>152</c:v>
                </c:pt>
                <c:pt idx="24">
                  <c:v>152</c:v>
                </c:pt>
                <c:pt idx="25">
                  <c:v>152</c:v>
                </c:pt>
                <c:pt idx="26">
                  <c:v>152</c:v>
                </c:pt>
                <c:pt idx="27">
                  <c:v>152</c:v>
                </c:pt>
                <c:pt idx="28">
                  <c:v>152</c:v>
                </c:pt>
                <c:pt idx="29">
                  <c:v>152</c:v>
                </c:pt>
              </c:numCache>
            </c:numRef>
          </c:val>
          <c:smooth val="0"/>
          <c:extLst>
            <c:ext xmlns:c16="http://schemas.microsoft.com/office/drawing/2014/chart" uri="{C3380CC4-5D6E-409C-BE32-E72D297353CC}">
              <c16:uniqueId val="{00000004-A726-4F31-B256-F5F6E46E4E04}"/>
            </c:ext>
          </c:extLst>
        </c:ser>
        <c:dLbls>
          <c:showLegendKey val="0"/>
          <c:showVal val="0"/>
          <c:showCatName val="0"/>
          <c:showSerName val="0"/>
          <c:showPercent val="0"/>
          <c:showBubbleSize val="0"/>
        </c:dLbls>
        <c:marker val="1"/>
        <c:smooth val="0"/>
        <c:axId val="42843136"/>
        <c:axId val="42857600"/>
      </c:lineChart>
      <c:catAx>
        <c:axId val="42843136"/>
        <c:scaling>
          <c:orientation val="minMax"/>
        </c:scaling>
        <c:delete val="0"/>
        <c:axPos val="b"/>
        <c:title>
          <c:tx>
            <c:rich>
              <a:bodyPr/>
              <a:lstStyle/>
              <a:p>
                <a:pPr>
                  <a:defRPr/>
                </a:pPr>
                <a:r>
                  <a:rPr lang="en-US"/>
                  <a:t>Sprint Days</a:t>
                </a:r>
              </a:p>
            </c:rich>
          </c:tx>
          <c:layout>
            <c:manualLayout>
              <c:xMode val="edge"/>
              <c:yMode val="edge"/>
              <c:x val="0.37047353760445706"/>
              <c:y val="0.86570743405275785"/>
            </c:manualLayout>
          </c:layout>
          <c:overlay val="0"/>
        </c:title>
        <c:numFmt formatCode="General" sourceLinked="0"/>
        <c:majorTickMark val="out"/>
        <c:minorTickMark val="none"/>
        <c:tickLblPos val="nextTo"/>
        <c:txPr>
          <a:bodyPr rot="-2700000" vert="horz"/>
          <a:lstStyle/>
          <a:p>
            <a:pPr>
              <a:defRPr/>
            </a:pPr>
            <a:endParaRPr lang="en-US"/>
          </a:p>
        </c:txPr>
        <c:crossAx val="42857600"/>
        <c:crosses val="autoZero"/>
        <c:auto val="1"/>
        <c:lblAlgn val="ctr"/>
        <c:lblOffset val="100"/>
        <c:tickLblSkip val="3"/>
        <c:tickMarkSkip val="1"/>
        <c:noMultiLvlLbl val="1"/>
      </c:catAx>
      <c:valAx>
        <c:axId val="42857600"/>
        <c:scaling>
          <c:orientation val="minMax"/>
          <c:min val="0"/>
        </c:scaling>
        <c:delete val="0"/>
        <c:axPos val="l"/>
        <c:majorGridlines/>
        <c:title>
          <c:tx>
            <c:rich>
              <a:bodyPr/>
              <a:lstStyle/>
              <a:p>
                <a:pPr>
                  <a:defRPr/>
                </a:pPr>
                <a:r>
                  <a:rPr lang="en-US"/>
                  <a:t>Workitem Hours</a:t>
                </a:r>
              </a:p>
            </c:rich>
          </c:tx>
          <c:layout>
            <c:manualLayout>
              <c:xMode val="edge"/>
              <c:yMode val="edge"/>
              <c:x val="3.2497678737233068E-2"/>
              <c:y val="0.27817745803357313"/>
            </c:manualLayout>
          </c:layout>
          <c:overlay val="0"/>
        </c:title>
        <c:numFmt formatCode="General" sourceLinked="1"/>
        <c:majorTickMark val="out"/>
        <c:minorTickMark val="none"/>
        <c:tickLblPos val="nextTo"/>
        <c:txPr>
          <a:bodyPr rot="0" vert="horz"/>
          <a:lstStyle/>
          <a:p>
            <a:pPr>
              <a:defRPr/>
            </a:pPr>
            <a:endParaRPr lang="en-US"/>
          </a:p>
        </c:txPr>
        <c:crossAx val="42843136"/>
        <c:crossesAt val="1"/>
        <c:crossBetween val="midCat"/>
      </c:valAx>
      <c:spPr>
        <a:solidFill>
          <a:srgbClr val="FFFFFF"/>
        </a:solidFill>
      </c:spPr>
    </c:plotArea>
    <c:legend>
      <c:legendPos val="r"/>
      <c:layout>
        <c:manualLayout>
          <c:xMode val="edge"/>
          <c:yMode val="edge"/>
          <c:x val="0.8551532660357033"/>
          <c:y val="0.16635131134923922"/>
          <c:w val="0.13741881036240838"/>
          <c:h val="0.57921772936277682"/>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1174750</xdr:colOff>
          <xdr:row>1</xdr:row>
          <xdr:rowOff>12700</xdr:rowOff>
        </xdr:from>
        <xdr:to>
          <xdr:col>4</xdr:col>
          <xdr:colOff>2413000</xdr:colOff>
          <xdr:row>2</xdr:row>
          <xdr:rowOff>114300</xdr:rowOff>
        </xdr:to>
        <xdr:sp macro="" textlink="">
          <xdr:nvSpPr>
            <xdr:cNvPr id="6274" name="BtnInsertNewLineAtEnd" hidden="1">
              <a:extLst>
                <a:ext uri="{63B3BB69-23CF-44E3-9099-C40C66FF867C}">
                  <a14:compatExt spid="_x0000_s6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12700</xdr:rowOff>
        </xdr:from>
        <xdr:to>
          <xdr:col>4</xdr:col>
          <xdr:colOff>1098550</xdr:colOff>
          <xdr:row>2</xdr:row>
          <xdr:rowOff>114300</xdr:rowOff>
        </xdr:to>
        <xdr:sp macro="" textlink="">
          <xdr:nvSpPr>
            <xdr:cNvPr id="6275" name="BtnInsertNewLine" hidden="1">
              <a:extLst>
                <a:ext uri="{63B3BB69-23CF-44E3-9099-C40C66FF867C}">
                  <a14:compatExt spid="_x0000_s6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20breakdown%20week%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int"/>
      <sheetName val="Analysis"/>
      <sheetName val="Capacity"/>
      <sheetName val="Team Roster"/>
      <sheetName val="Project Specific Reports"/>
    </sheetNames>
    <sheetDataSet>
      <sheetData sheetId="0" refreshError="1"/>
      <sheetData sheetId="1" refreshError="1"/>
      <sheetData sheetId="2" refreshError="1"/>
      <sheetData sheetId="3" refreshError="1"/>
      <sheetData sheetId="4">
        <row r="2">
          <cell r="A2" t="str">
            <v>Programming</v>
          </cell>
        </row>
        <row r="3">
          <cell r="A3" t="str">
            <v>Testing</v>
          </cell>
        </row>
        <row r="4">
          <cell r="A4" t="str">
            <v>Review</v>
          </cell>
        </row>
        <row r="5">
          <cell r="A5" t="str">
            <v>Prestudy</v>
          </cell>
        </row>
        <row r="9">
          <cell r="A9" t="str">
            <v>Presentation layer</v>
          </cell>
        </row>
        <row r="10">
          <cell r="A10" t="str">
            <v>Bussiness layer</v>
          </cell>
        </row>
        <row r="11">
          <cell r="A11" t="str">
            <v>Data layer</v>
          </cell>
        </row>
        <row r="12">
          <cell r="A12" t="str">
            <v>Common layer</v>
          </cell>
        </row>
        <row r="13">
          <cell r="A13" t="str">
            <v>Launcher layer</v>
          </cell>
        </row>
        <row r="14">
          <cell r="A14" t="str">
            <v>Testing</v>
          </cell>
        </row>
        <row r="15">
          <cell r="A15" t="str">
            <v>Reviewing</v>
          </cell>
        </row>
        <row r="16">
          <cell r="A16" t="str">
            <v>Documentation</v>
          </cell>
        </row>
        <row r="17">
          <cell r="A17" t="str">
            <v>General</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A69"/>
  <sheetViews>
    <sheetView tabSelected="1" zoomScaleNormal="120" workbookViewId="0">
      <pane xSplit="8" ySplit="3" topLeftCell="I31" activePane="bottomRight" state="frozen"/>
      <selection pane="topRight" activeCell="F1" sqref="F1"/>
      <selection pane="bottomLeft" activeCell="A3" sqref="A3"/>
      <selection pane="bottomRight" activeCell="G45" sqref="G45"/>
    </sheetView>
  </sheetViews>
  <sheetFormatPr defaultColWidth="9.1796875" defaultRowHeight="12.5" outlineLevelCol="1" x14ac:dyDescent="0.25"/>
  <cols>
    <col min="1" max="1" width="12.1796875" style="6" customWidth="1"/>
    <col min="2" max="3" width="6" style="6" customWidth="1"/>
    <col min="4" max="4" width="8" style="6" bestFit="1" customWidth="1"/>
    <col min="5" max="5" width="65.81640625" style="6" customWidth="1"/>
    <col min="6" max="6" width="9" style="6" bestFit="1" customWidth="1"/>
    <col min="7" max="7" width="7" style="6" customWidth="1"/>
    <col min="8" max="8" width="5.26953125" style="6" bestFit="1" customWidth="1"/>
    <col min="9" max="9" width="4.26953125" style="6" customWidth="1"/>
    <col min="10" max="11" width="3.26953125" style="197" customWidth="1"/>
    <col min="12" max="12" width="2.453125" style="6" customWidth="1"/>
    <col min="13" max="14" width="3.26953125" style="6" customWidth="1"/>
    <col min="15" max="15" width="2.453125" style="6" customWidth="1"/>
    <col min="16" max="17" width="3.26953125" style="6" customWidth="1"/>
    <col min="18" max="18" width="2.453125" style="6" customWidth="1"/>
    <col min="19" max="20" width="3.26953125" style="6" customWidth="1"/>
    <col min="21" max="21" width="2.453125" style="6" customWidth="1"/>
    <col min="22" max="23" width="3.26953125" style="6" customWidth="1"/>
    <col min="24" max="24" width="2.453125" style="6" customWidth="1"/>
    <col min="25" max="26" width="3.26953125" style="6" customWidth="1"/>
    <col min="27" max="27" width="2.453125" style="6" customWidth="1"/>
    <col min="28" max="29" width="3.26953125" style="6" customWidth="1"/>
    <col min="30" max="30" width="2.453125" style="6" customWidth="1"/>
    <col min="31" max="32" width="3.26953125" style="6" customWidth="1"/>
    <col min="33" max="33" width="2.453125" style="6" customWidth="1"/>
    <col min="34" max="35" width="3.26953125" style="6" customWidth="1"/>
    <col min="36" max="36" width="2.453125" style="6" customWidth="1"/>
    <col min="37" max="38" width="3.26953125" style="6" customWidth="1"/>
    <col min="39" max="39" width="2.453125" style="6" customWidth="1"/>
    <col min="40" max="41" width="3.26953125" style="6" customWidth="1"/>
    <col min="42" max="42" width="2.453125" style="6" customWidth="1"/>
    <col min="43" max="44" width="3.26953125" style="6" customWidth="1"/>
    <col min="45" max="45" width="2.453125" style="6" customWidth="1"/>
    <col min="46" max="47" width="3.26953125" style="6" customWidth="1"/>
    <col min="48" max="48" width="2.453125" style="6" customWidth="1"/>
    <col min="49" max="50" width="3.26953125" style="6" customWidth="1"/>
    <col min="51" max="51" width="2.453125" style="6" customWidth="1"/>
    <col min="52" max="53" width="3.26953125" style="6" customWidth="1"/>
    <col min="54" max="54" width="2.453125" style="6" customWidth="1"/>
    <col min="55" max="56" width="3.26953125" style="6" customWidth="1"/>
    <col min="57" max="57" width="2.453125" style="6" customWidth="1"/>
    <col min="58" max="59" width="3.26953125" style="6" customWidth="1"/>
    <col min="60" max="60" width="2.453125" style="6" customWidth="1"/>
    <col min="61" max="62" width="3.26953125" style="6" customWidth="1"/>
    <col min="63" max="63" width="2.453125" style="6" customWidth="1"/>
    <col min="64" max="65" width="3.26953125" style="6" customWidth="1"/>
    <col min="66" max="66" width="2.453125" style="6" customWidth="1"/>
    <col min="67" max="68" width="3.26953125" style="6" customWidth="1"/>
    <col min="69" max="69" width="2.453125" style="6" customWidth="1"/>
    <col min="70" max="71" width="3.26953125" style="6" customWidth="1"/>
    <col min="72" max="72" width="2.453125" style="6" customWidth="1"/>
    <col min="73" max="74" width="3.26953125" style="6" customWidth="1"/>
    <col min="75" max="75" width="2.453125" style="6" customWidth="1"/>
    <col min="76" max="77" width="3.26953125" style="6" customWidth="1"/>
    <col min="78" max="78" width="2.453125" style="6" customWidth="1"/>
    <col min="79" max="80" width="3.26953125" style="6" customWidth="1"/>
    <col min="81" max="81" width="2.453125" style="6" customWidth="1"/>
    <col min="82" max="83" width="3.26953125" style="6" customWidth="1"/>
    <col min="84" max="84" width="2.453125" style="6" customWidth="1"/>
    <col min="85" max="86" width="3.26953125" style="6" customWidth="1"/>
    <col min="87" max="87" width="2.453125" style="6" customWidth="1"/>
    <col min="88" max="89" width="3.26953125" style="6" customWidth="1"/>
    <col min="90" max="90" width="2.453125" style="6" customWidth="1"/>
    <col min="91" max="92" width="3.26953125" style="6" customWidth="1"/>
    <col min="93" max="93" width="2.453125" style="6" customWidth="1"/>
    <col min="94" max="95" width="3.26953125" style="6" customWidth="1"/>
    <col min="96" max="96" width="2.453125" style="6" customWidth="1"/>
    <col min="97" max="98" width="3.26953125" style="6" customWidth="1"/>
    <col min="99" max="99" width="2.453125" style="6" customWidth="1"/>
    <col min="100" max="101" width="3.26953125" style="6" hidden="1" customWidth="1" outlineLevel="1"/>
    <col min="102" max="102" width="2.453125" style="6" hidden="1" customWidth="1" outlineLevel="1"/>
    <col min="103" max="104" width="3.26953125" style="6" hidden="1" customWidth="1" outlineLevel="1"/>
    <col min="105" max="105" width="2.453125" style="6" hidden="1" customWidth="1" outlineLevel="1"/>
    <col min="106" max="107" width="3.26953125" style="6" hidden="1" customWidth="1" outlineLevel="1"/>
    <col min="108" max="108" width="2.453125" style="6" hidden="1" customWidth="1" outlineLevel="1"/>
    <col min="109" max="110" width="3.26953125" style="6" hidden="1" customWidth="1" outlineLevel="1"/>
    <col min="111" max="111" width="2.453125" style="6" hidden="1" customWidth="1" outlineLevel="1"/>
    <col min="112" max="113" width="3.26953125" style="6" hidden="1" customWidth="1" outlineLevel="1"/>
    <col min="114" max="114" width="2.453125" style="6" hidden="1" customWidth="1" outlineLevel="1"/>
    <col min="115" max="116" width="3.26953125" style="6" hidden="1" customWidth="1" outlineLevel="1"/>
    <col min="117" max="117" width="2.453125" style="6" hidden="1" customWidth="1" outlineLevel="1"/>
    <col min="118" max="119" width="3.26953125" style="6" hidden="1" customWidth="1" outlineLevel="1"/>
    <col min="120" max="120" width="2.453125" style="6" hidden="1" customWidth="1" outlineLevel="1"/>
    <col min="121" max="122" width="3.26953125" style="6" hidden="1" customWidth="1" outlineLevel="1"/>
    <col min="123" max="123" width="2.453125" style="6" hidden="1" customWidth="1" outlineLevel="1"/>
    <col min="124" max="125" width="3.26953125" style="6" hidden="1" customWidth="1" outlineLevel="1"/>
    <col min="126" max="126" width="2.453125" style="6" hidden="1" customWidth="1" outlineLevel="1"/>
    <col min="127" max="128" width="3.26953125" style="6" hidden="1" customWidth="1" outlineLevel="1"/>
    <col min="129" max="129" width="2.453125" style="6" hidden="1" customWidth="1" outlineLevel="1"/>
    <col min="130" max="130" width="2.453125" style="6" customWidth="1" collapsed="1"/>
    <col min="131" max="131" width="6.54296875" style="6" customWidth="1"/>
    <col min="132" max="16384" width="9.1796875" style="6"/>
  </cols>
  <sheetData>
    <row r="1" spans="1:131" x14ac:dyDescent="0.25">
      <c r="A1" s="1"/>
      <c r="B1" s="1"/>
      <c r="C1" s="1"/>
      <c r="D1" s="1"/>
      <c r="E1" s="2"/>
      <c r="F1" s="3" t="s">
        <v>24</v>
      </c>
      <c r="G1" s="4">
        <v>38901</v>
      </c>
      <c r="H1" s="1"/>
      <c r="I1" s="1"/>
      <c r="J1" s="200">
        <f>SprintStart</f>
        <v>39314</v>
      </c>
      <c r="K1" s="200"/>
      <c r="L1" s="200"/>
      <c r="M1" s="200">
        <f>IF(AND(SkipWeekends, WEEKDAY(J1)=6),J1+3, J1+1)</f>
        <v>39315</v>
      </c>
      <c r="N1" s="200"/>
      <c r="O1" s="200"/>
      <c r="P1" s="200">
        <f>IF(AND(SkipWeekends, WEEKDAY(M1)=6),M1+3, M1+1)</f>
        <v>39316</v>
      </c>
      <c r="Q1" s="200"/>
      <c r="R1" s="200"/>
      <c r="S1" s="200">
        <f>IF(AND(SkipWeekends, WEEKDAY(P1)=6),P1+3, P1+1)</f>
        <v>39317</v>
      </c>
      <c r="T1" s="200"/>
      <c r="U1" s="200"/>
      <c r="V1" s="200">
        <f>IF(AND(SkipWeekends, WEEKDAY(S1)=6),S1+3, S1+1)</f>
        <v>39318</v>
      </c>
      <c r="W1" s="200"/>
      <c r="X1" s="200"/>
      <c r="Y1" s="200">
        <f>IF(AND(SkipWeekends, WEEKDAY(V1)=6),V1+3, V1+1)</f>
        <v>39319</v>
      </c>
      <c r="Z1" s="200"/>
      <c r="AA1" s="200"/>
      <c r="AB1" s="200">
        <f>IF(AND(SkipWeekends, WEEKDAY(Y1)=6),Y1+3, Y1+1)</f>
        <v>39320</v>
      </c>
      <c r="AC1" s="200"/>
      <c r="AD1" s="200"/>
      <c r="AE1" s="200">
        <f>IF(AND(SkipWeekends, WEEKDAY(AB1)=6),AB1+3, AB1+1)</f>
        <v>39321</v>
      </c>
      <c r="AF1" s="200"/>
      <c r="AG1" s="200"/>
      <c r="AH1" s="200">
        <f>IF(AND(SkipWeekends, WEEKDAY(AE1)=6),AE1+3, AE1+1)</f>
        <v>39322</v>
      </c>
      <c r="AI1" s="200"/>
      <c r="AJ1" s="200"/>
      <c r="AK1" s="200">
        <f>IF(AND(SkipWeekends, WEEKDAY(AH1)=6),AH1+3, AH1+1)</f>
        <v>39323</v>
      </c>
      <c r="AL1" s="200"/>
      <c r="AM1" s="200"/>
      <c r="AN1" s="200">
        <f>IF(AND(SkipWeekends, WEEKDAY(AK1)=6),AK1+3, AK1+1)</f>
        <v>39324</v>
      </c>
      <c r="AO1" s="200"/>
      <c r="AP1" s="200"/>
      <c r="AQ1" s="200">
        <f>IF(AND(SkipWeekends, WEEKDAY(AN1)=6),AN1+3, AN1+1)</f>
        <v>39325</v>
      </c>
      <c r="AR1" s="200"/>
      <c r="AS1" s="200"/>
      <c r="AT1" s="200">
        <f>IF(AND(SkipWeekends, WEEKDAY(AQ1)=6),AQ1+3, AQ1+1)</f>
        <v>39326</v>
      </c>
      <c r="AU1" s="200"/>
      <c r="AV1" s="200"/>
      <c r="AW1" s="200">
        <f>IF(AND(SkipWeekends, WEEKDAY(AT1)=6),AT1+3, AT1+1)</f>
        <v>39327</v>
      </c>
      <c r="AX1" s="200"/>
      <c r="AY1" s="200"/>
      <c r="AZ1" s="200">
        <f>IF(AND(SkipWeekends, WEEKDAY(AW1)=6),AW1+3, AW1+1)</f>
        <v>39328</v>
      </c>
      <c r="BA1" s="200"/>
      <c r="BB1" s="200"/>
      <c r="BC1" s="200">
        <f>IF(AND(SkipWeekends, WEEKDAY(AZ1)=6),AZ1+3, AZ1+1)</f>
        <v>39329</v>
      </c>
      <c r="BD1" s="200"/>
      <c r="BE1" s="200"/>
      <c r="BF1" s="200">
        <f>IF(AND(SkipWeekends, WEEKDAY(BC1)=6),BC1+3, BC1+1)</f>
        <v>39330</v>
      </c>
      <c r="BG1" s="200"/>
      <c r="BH1" s="200"/>
      <c r="BI1" s="200">
        <f>IF(AND(SkipWeekends, WEEKDAY(BF1)=6),BF1+3, BF1+1)</f>
        <v>39331</v>
      </c>
      <c r="BJ1" s="200"/>
      <c r="BK1" s="200"/>
      <c r="BL1" s="200">
        <f>IF(AND(SkipWeekends, WEEKDAY(BI1)=6),BI1+3, BI1+1)</f>
        <v>39332</v>
      </c>
      <c r="BM1" s="200"/>
      <c r="BN1" s="200"/>
      <c r="BO1" s="200">
        <f>IF(AND(SkipWeekends, WEEKDAY(BL1)=6),BL1+3, BL1+1)</f>
        <v>39333</v>
      </c>
      <c r="BP1" s="200"/>
      <c r="BQ1" s="200"/>
      <c r="BR1" s="200">
        <f>IF(AND(SkipWeekends, WEEKDAY(BO1)=6),BO1+3, BO1+1)</f>
        <v>39334</v>
      </c>
      <c r="BS1" s="200"/>
      <c r="BT1" s="200"/>
      <c r="BU1" s="200">
        <f>IF(AND(SkipWeekends, WEEKDAY(BR1)=6),BR1+3, BR1+1)</f>
        <v>39335</v>
      </c>
      <c r="BV1" s="200"/>
      <c r="BW1" s="200"/>
      <c r="BX1" s="200">
        <f>IF(AND(SkipWeekends, WEEKDAY(BU1)=6),BU1+3, BU1+1)</f>
        <v>39336</v>
      </c>
      <c r="BY1" s="200"/>
      <c r="BZ1" s="200"/>
      <c r="CA1" s="200">
        <f>IF(AND(SkipWeekends, WEEKDAY(BX1)=6),BX1+3, BX1+1)</f>
        <v>39337</v>
      </c>
      <c r="CB1" s="200"/>
      <c r="CC1" s="200"/>
      <c r="CD1" s="200">
        <f>IF(AND(SkipWeekends, WEEKDAY(CA1)=6),CA1+3, CA1+1)</f>
        <v>39338</v>
      </c>
      <c r="CE1" s="200"/>
      <c r="CF1" s="200"/>
      <c r="CG1" s="200">
        <f>IF(AND(SkipWeekends, WEEKDAY(CD1)=6),CD1+3, CD1+1)</f>
        <v>39339</v>
      </c>
      <c r="CH1" s="200"/>
      <c r="CI1" s="200"/>
      <c r="CJ1" s="200">
        <f>IF(AND(SkipWeekends, WEEKDAY(CG1)=6),CG1+3, CG1+1)</f>
        <v>39340</v>
      </c>
      <c r="CK1" s="200"/>
      <c r="CL1" s="200"/>
      <c r="CM1" s="200">
        <f>IF(AND(SkipWeekends, WEEKDAY(CJ1)=6),CJ1+3, CJ1+1)</f>
        <v>39341</v>
      </c>
      <c r="CN1" s="200"/>
      <c r="CO1" s="200"/>
      <c r="CP1" s="200">
        <f>IF(AND(SkipWeekends, WEEKDAY(CM1)=6),CM1+3, CM1+1)</f>
        <v>39342</v>
      </c>
      <c r="CQ1" s="200"/>
      <c r="CR1" s="200"/>
      <c r="CS1" s="200">
        <f>IF(AND(SkipWeekends, WEEKDAY(CP1)=6),CP1+3, CP1+1)</f>
        <v>39343</v>
      </c>
      <c r="CT1" s="200"/>
      <c r="CU1" s="200"/>
      <c r="CV1" s="200">
        <f>IF(AND(SkipWeekends, WEEKDAY(CS1)=6),CS1+3, CS1+1)</f>
        <v>39344</v>
      </c>
      <c r="CW1" s="200"/>
      <c r="CX1" s="200"/>
      <c r="CY1" s="200">
        <f>IF(AND(SkipWeekends, WEEKDAY(CV1)=6),CV1+3, CV1+1)</f>
        <v>39345</v>
      </c>
      <c r="CZ1" s="200"/>
      <c r="DA1" s="200"/>
      <c r="DB1" s="200">
        <f>IF(AND(SkipWeekends, WEEKDAY(CY1)=6),CY1+3, CY1+1)</f>
        <v>39346</v>
      </c>
      <c r="DC1" s="200"/>
      <c r="DD1" s="200"/>
      <c r="DE1" s="200">
        <f>IF(AND(SkipWeekends, WEEKDAY(DB1)=6),DB1+3, DB1+1)</f>
        <v>39347</v>
      </c>
      <c r="DF1" s="200"/>
      <c r="DG1" s="200"/>
      <c r="DH1" s="200">
        <f>IF(AND(SkipWeekends, WEEKDAY(DE1)=6),DE1+3, DE1+1)</f>
        <v>39348</v>
      </c>
      <c r="DI1" s="200"/>
      <c r="DJ1" s="200"/>
      <c r="DK1" s="200">
        <f>IF(AND(SkipWeekends, WEEKDAY(DH1)=6),DH1+3, DH1+1)</f>
        <v>39349</v>
      </c>
      <c r="DL1" s="200"/>
      <c r="DM1" s="200"/>
      <c r="DN1" s="200">
        <f>IF(AND(SkipWeekends, WEEKDAY(DK1)=6),DK1+3, DK1+1)</f>
        <v>39350</v>
      </c>
      <c r="DO1" s="200"/>
      <c r="DP1" s="200"/>
      <c r="DQ1" s="200">
        <f>IF(AND(SkipWeekends, WEEKDAY(DN1)=6),DN1+3, DN1+1)</f>
        <v>39351</v>
      </c>
      <c r="DR1" s="200"/>
      <c r="DS1" s="200"/>
      <c r="DT1" s="200">
        <f>IF(AND(SkipWeekends, WEEKDAY(DQ1)=6),DQ1+3, DQ1+1)</f>
        <v>39352</v>
      </c>
      <c r="DU1" s="200"/>
      <c r="DV1" s="200"/>
      <c r="DW1" s="200">
        <f>IF(AND(SkipWeekends, WEEKDAY(DT1)=6),DT1+3, DT1+1)</f>
        <v>39353</v>
      </c>
      <c r="DX1" s="200"/>
      <c r="DY1" s="200"/>
      <c r="DZ1" s="5"/>
      <c r="EA1" s="1"/>
    </row>
    <row r="2" spans="1:131" x14ac:dyDescent="0.25">
      <c r="A2" s="1"/>
      <c r="B2" s="1"/>
      <c r="C2" s="1"/>
      <c r="D2" s="1"/>
      <c r="E2" s="7"/>
      <c r="F2" s="8"/>
      <c r="G2" s="9"/>
      <c r="H2" s="1"/>
      <c r="I2" s="1"/>
      <c r="J2" s="190"/>
      <c r="K2" s="190" t="s">
        <v>63</v>
      </c>
      <c r="L2" s="10"/>
      <c r="M2" s="10"/>
      <c r="N2" s="10" t="s">
        <v>64</v>
      </c>
      <c r="O2" s="10"/>
      <c r="P2" s="10"/>
      <c r="Q2" s="10" t="s">
        <v>65</v>
      </c>
      <c r="R2" s="10"/>
      <c r="S2" s="10"/>
      <c r="T2" s="10" t="s">
        <v>66</v>
      </c>
      <c r="U2" s="10"/>
      <c r="V2" s="10"/>
      <c r="W2" s="10" t="s">
        <v>67</v>
      </c>
      <c r="X2" s="10"/>
      <c r="Y2" s="10"/>
      <c r="Z2" s="10" t="s">
        <v>68</v>
      </c>
      <c r="AA2" s="10"/>
      <c r="AB2" s="10"/>
      <c r="AC2" s="10" t="s">
        <v>69</v>
      </c>
      <c r="AD2" s="10"/>
      <c r="AE2" s="10"/>
      <c r="AF2" s="10" t="s">
        <v>70</v>
      </c>
      <c r="AG2" s="10"/>
      <c r="AH2" s="10"/>
      <c r="AI2" s="10" t="s">
        <v>71</v>
      </c>
      <c r="AJ2" s="10"/>
      <c r="AK2" s="10"/>
      <c r="AL2" s="10" t="s">
        <v>72</v>
      </c>
      <c r="AM2" s="10"/>
      <c r="AN2" s="10"/>
      <c r="AO2" s="10" t="s">
        <v>73</v>
      </c>
      <c r="AP2" s="10"/>
      <c r="AQ2" s="10"/>
      <c r="AR2" s="10" t="s">
        <v>74</v>
      </c>
      <c r="AS2" s="10"/>
      <c r="AT2" s="10"/>
      <c r="AU2" s="10" t="s">
        <v>75</v>
      </c>
      <c r="AV2" s="10"/>
      <c r="AW2" s="10"/>
      <c r="AX2" s="10" t="s">
        <v>76</v>
      </c>
      <c r="AY2" s="10"/>
      <c r="AZ2" s="10"/>
      <c r="BA2" s="10" t="s">
        <v>77</v>
      </c>
      <c r="BB2" s="10"/>
      <c r="BC2" s="10"/>
      <c r="BD2" s="10" t="s">
        <v>78</v>
      </c>
      <c r="BE2" s="10"/>
      <c r="BF2" s="10"/>
      <c r="BG2" s="10" t="s">
        <v>79</v>
      </c>
      <c r="BH2" s="10"/>
      <c r="BI2" s="10"/>
      <c r="BJ2" s="10" t="s">
        <v>80</v>
      </c>
      <c r="BK2" s="10"/>
      <c r="BL2" s="10"/>
      <c r="BM2" s="10" t="s">
        <v>81</v>
      </c>
      <c r="BN2" s="10"/>
      <c r="BO2" s="10"/>
      <c r="BP2" s="10" t="s">
        <v>82</v>
      </c>
      <c r="BQ2" s="10"/>
      <c r="BR2" s="10"/>
      <c r="BS2" s="10" t="s">
        <v>83</v>
      </c>
      <c r="BT2" s="10"/>
      <c r="BU2" s="10"/>
      <c r="BV2" s="10" t="s">
        <v>84</v>
      </c>
      <c r="BW2" s="10"/>
      <c r="BX2" s="10"/>
      <c r="BY2" s="10" t="s">
        <v>85</v>
      </c>
      <c r="BZ2" s="10"/>
      <c r="CA2" s="10"/>
      <c r="CB2" s="10" t="s">
        <v>86</v>
      </c>
      <c r="CC2" s="10"/>
      <c r="CD2" s="10"/>
      <c r="CE2" s="10" t="s">
        <v>87</v>
      </c>
      <c r="CF2" s="10"/>
      <c r="CG2" s="10"/>
      <c r="CH2" s="10" t="s">
        <v>88</v>
      </c>
      <c r="CI2" s="10"/>
      <c r="CJ2" s="10"/>
      <c r="CK2" s="10" t="s">
        <v>89</v>
      </c>
      <c r="CL2" s="10"/>
      <c r="CM2" s="10"/>
      <c r="CN2" s="10" t="s">
        <v>90</v>
      </c>
      <c r="CO2" s="10"/>
      <c r="CP2" s="10"/>
      <c r="CQ2" s="10" t="s">
        <v>91</v>
      </c>
      <c r="CR2" s="10"/>
      <c r="CS2" s="10"/>
      <c r="CT2" s="10" t="s">
        <v>92</v>
      </c>
      <c r="CU2" s="10"/>
      <c r="CV2" s="10"/>
      <c r="CW2" s="10" t="s">
        <v>93</v>
      </c>
      <c r="CX2" s="10"/>
      <c r="CY2" s="10"/>
      <c r="CZ2" s="10" t="s">
        <v>94</v>
      </c>
      <c r="DA2" s="10"/>
      <c r="DB2" s="10"/>
      <c r="DC2" s="10" t="s">
        <v>95</v>
      </c>
      <c r="DD2" s="10"/>
      <c r="DE2" s="10"/>
      <c r="DF2" s="10" t="s">
        <v>96</v>
      </c>
      <c r="DG2" s="10"/>
      <c r="DH2" s="10"/>
      <c r="DI2" s="10" t="s">
        <v>97</v>
      </c>
      <c r="DJ2" s="10"/>
      <c r="DK2" s="10"/>
      <c r="DL2" s="10" t="s">
        <v>98</v>
      </c>
      <c r="DM2" s="10"/>
      <c r="DN2" s="10"/>
      <c r="DO2" s="10" t="s">
        <v>99</v>
      </c>
      <c r="DP2" s="10"/>
      <c r="DQ2" s="10"/>
      <c r="DR2" s="10" t="s">
        <v>100</v>
      </c>
      <c r="DS2" s="10"/>
      <c r="DT2" s="10"/>
      <c r="DU2" s="10" t="s">
        <v>101</v>
      </c>
      <c r="DV2" s="10"/>
      <c r="DW2" s="10"/>
      <c r="DX2" s="10" t="s">
        <v>102</v>
      </c>
      <c r="DY2" s="10"/>
      <c r="DZ2" s="5"/>
      <c r="EA2" s="1"/>
    </row>
    <row r="3" spans="1:131" ht="38.25" customHeight="1" x14ac:dyDescent="0.25">
      <c r="A3" s="11" t="s">
        <v>116</v>
      </c>
      <c r="B3" s="11" t="s">
        <v>117</v>
      </c>
      <c r="C3" s="11" t="s">
        <v>103</v>
      </c>
      <c r="D3" s="11" t="s">
        <v>118</v>
      </c>
      <c r="E3" s="1" t="s">
        <v>104</v>
      </c>
      <c r="F3" s="1" t="s">
        <v>0</v>
      </c>
      <c r="G3" s="1" t="s">
        <v>1</v>
      </c>
      <c r="H3" s="12" t="s">
        <v>2</v>
      </c>
      <c r="I3" s="12" t="s">
        <v>105</v>
      </c>
      <c r="J3" s="191" t="s">
        <v>13</v>
      </c>
      <c r="K3" s="192" t="s">
        <v>3</v>
      </c>
      <c r="L3" s="14"/>
      <c r="M3" s="13" t="s">
        <v>13</v>
      </c>
      <c r="N3" s="14" t="s">
        <v>3</v>
      </c>
      <c r="O3" s="14"/>
      <c r="P3" s="13" t="s">
        <v>13</v>
      </c>
      <c r="Q3" s="14" t="s">
        <v>3</v>
      </c>
      <c r="R3" s="14"/>
      <c r="S3" s="13" t="s">
        <v>13</v>
      </c>
      <c r="T3" s="14" t="s">
        <v>3</v>
      </c>
      <c r="U3" s="14"/>
      <c r="V3" s="13" t="s">
        <v>13</v>
      </c>
      <c r="W3" s="14" t="s">
        <v>3</v>
      </c>
      <c r="X3" s="14"/>
      <c r="Y3" s="13" t="s">
        <v>13</v>
      </c>
      <c r="Z3" s="14" t="s">
        <v>3</v>
      </c>
      <c r="AA3" s="14"/>
      <c r="AB3" s="13" t="s">
        <v>13</v>
      </c>
      <c r="AC3" s="14" t="s">
        <v>3</v>
      </c>
      <c r="AD3" s="14"/>
      <c r="AE3" s="13" t="s">
        <v>13</v>
      </c>
      <c r="AF3" s="14" t="s">
        <v>3</v>
      </c>
      <c r="AG3" s="14"/>
      <c r="AH3" s="13" t="s">
        <v>13</v>
      </c>
      <c r="AI3" s="14" t="s">
        <v>3</v>
      </c>
      <c r="AJ3" s="14"/>
      <c r="AK3" s="13" t="s">
        <v>13</v>
      </c>
      <c r="AL3" s="14" t="s">
        <v>3</v>
      </c>
      <c r="AM3" s="14"/>
      <c r="AN3" s="13" t="s">
        <v>13</v>
      </c>
      <c r="AO3" s="14" t="s">
        <v>3</v>
      </c>
      <c r="AP3" s="14"/>
      <c r="AQ3" s="13" t="s">
        <v>13</v>
      </c>
      <c r="AR3" s="14" t="s">
        <v>3</v>
      </c>
      <c r="AS3" s="14"/>
      <c r="AT3" s="13" t="s">
        <v>13</v>
      </c>
      <c r="AU3" s="14" t="s">
        <v>3</v>
      </c>
      <c r="AV3" s="14"/>
      <c r="AW3" s="13" t="s">
        <v>13</v>
      </c>
      <c r="AX3" s="14" t="s">
        <v>3</v>
      </c>
      <c r="AY3" s="14"/>
      <c r="AZ3" s="13" t="s">
        <v>13</v>
      </c>
      <c r="BA3" s="14" t="s">
        <v>3</v>
      </c>
      <c r="BB3" s="14"/>
      <c r="BC3" s="13" t="s">
        <v>13</v>
      </c>
      <c r="BD3" s="14" t="s">
        <v>3</v>
      </c>
      <c r="BE3" s="14"/>
      <c r="BF3" s="13" t="s">
        <v>13</v>
      </c>
      <c r="BG3" s="14" t="s">
        <v>3</v>
      </c>
      <c r="BH3" s="14"/>
      <c r="BI3" s="13" t="s">
        <v>13</v>
      </c>
      <c r="BJ3" s="14" t="s">
        <v>3</v>
      </c>
      <c r="BK3" s="14"/>
      <c r="BL3" s="13" t="s">
        <v>13</v>
      </c>
      <c r="BM3" s="14" t="s">
        <v>3</v>
      </c>
      <c r="BN3" s="14"/>
      <c r="BO3" s="13" t="s">
        <v>13</v>
      </c>
      <c r="BP3" s="14" t="s">
        <v>3</v>
      </c>
      <c r="BQ3" s="14"/>
      <c r="BR3" s="13" t="s">
        <v>13</v>
      </c>
      <c r="BS3" s="14" t="s">
        <v>3</v>
      </c>
      <c r="BT3" s="14"/>
      <c r="BU3" s="13" t="s">
        <v>13</v>
      </c>
      <c r="BV3" s="14" t="s">
        <v>3</v>
      </c>
      <c r="BW3" s="14"/>
      <c r="BX3" s="13" t="s">
        <v>13</v>
      </c>
      <c r="BY3" s="14" t="s">
        <v>3</v>
      </c>
      <c r="BZ3" s="14"/>
      <c r="CA3" s="13" t="s">
        <v>13</v>
      </c>
      <c r="CB3" s="14" t="s">
        <v>3</v>
      </c>
      <c r="CC3" s="14"/>
      <c r="CD3" s="13" t="s">
        <v>13</v>
      </c>
      <c r="CE3" s="14" t="s">
        <v>3</v>
      </c>
      <c r="CF3" s="14"/>
      <c r="CG3" s="13" t="s">
        <v>13</v>
      </c>
      <c r="CH3" s="14" t="s">
        <v>3</v>
      </c>
      <c r="CI3" s="14"/>
      <c r="CJ3" s="13" t="s">
        <v>13</v>
      </c>
      <c r="CK3" s="14" t="s">
        <v>3</v>
      </c>
      <c r="CL3" s="14"/>
      <c r="CM3" s="13" t="s">
        <v>13</v>
      </c>
      <c r="CN3" s="14" t="s">
        <v>3</v>
      </c>
      <c r="CO3" s="14"/>
      <c r="CP3" s="13" t="s">
        <v>13</v>
      </c>
      <c r="CQ3" s="14" t="s">
        <v>3</v>
      </c>
      <c r="CR3" s="14"/>
      <c r="CS3" s="13" t="s">
        <v>13</v>
      </c>
      <c r="CT3" s="14" t="s">
        <v>3</v>
      </c>
      <c r="CU3" s="14"/>
      <c r="CV3" s="13" t="s">
        <v>13</v>
      </c>
      <c r="CW3" s="14" t="s">
        <v>3</v>
      </c>
      <c r="CX3" s="14"/>
      <c r="CY3" s="13" t="s">
        <v>13</v>
      </c>
      <c r="CZ3" s="14" t="s">
        <v>3</v>
      </c>
      <c r="DA3" s="14"/>
      <c r="DB3" s="13" t="s">
        <v>13</v>
      </c>
      <c r="DC3" s="14" t="s">
        <v>3</v>
      </c>
      <c r="DD3" s="14"/>
      <c r="DE3" s="13" t="s">
        <v>13</v>
      </c>
      <c r="DF3" s="14" t="s">
        <v>3</v>
      </c>
      <c r="DG3" s="14"/>
      <c r="DH3" s="13" t="s">
        <v>13</v>
      </c>
      <c r="DI3" s="14" t="s">
        <v>3</v>
      </c>
      <c r="DJ3" s="14"/>
      <c r="DK3" s="13" t="s">
        <v>13</v>
      </c>
      <c r="DL3" s="14" t="s">
        <v>3</v>
      </c>
      <c r="DM3" s="14"/>
      <c r="DN3" s="13" t="s">
        <v>13</v>
      </c>
      <c r="DO3" s="14" t="s">
        <v>3</v>
      </c>
      <c r="DP3" s="14"/>
      <c r="DQ3" s="13" t="s">
        <v>13</v>
      </c>
      <c r="DR3" s="14" t="s">
        <v>3</v>
      </c>
      <c r="DS3" s="14"/>
      <c r="DT3" s="13" t="s">
        <v>13</v>
      </c>
      <c r="DU3" s="14" t="s">
        <v>3</v>
      </c>
      <c r="DV3" s="14"/>
      <c r="DW3" s="13" t="s">
        <v>13</v>
      </c>
      <c r="DX3" s="14" t="s">
        <v>3</v>
      </c>
      <c r="DY3" s="14"/>
      <c r="DZ3" s="14"/>
      <c r="EA3" s="15" t="s">
        <v>31</v>
      </c>
    </row>
    <row r="4" spans="1:131" x14ac:dyDescent="0.25">
      <c r="A4" s="16" t="s">
        <v>119</v>
      </c>
      <c r="B4" s="16" t="s">
        <v>120</v>
      </c>
      <c r="C4" s="16" t="s">
        <v>121</v>
      </c>
      <c r="D4" s="17">
        <v>1</v>
      </c>
      <c r="E4" s="199" t="s">
        <v>122</v>
      </c>
      <c r="F4" s="18" t="s">
        <v>123</v>
      </c>
      <c r="G4" s="19" t="str">
        <f t="shared" ref="G4:G59" ca="1" si="0">(INDEX(Burndown,ROW(G4)-ROW(G$3),MIN(TODAY()-SprintStart,29)*3+3))</f>
        <v>Complete</v>
      </c>
      <c r="H4" s="20">
        <v>1</v>
      </c>
      <c r="I4" s="21">
        <v>3</v>
      </c>
      <c r="J4" s="22">
        <v>3</v>
      </c>
      <c r="K4" s="22">
        <f>MAX(I4-J4, 0)</f>
        <v>0</v>
      </c>
      <c r="L4" s="23" t="str">
        <f>IF(SUMPRODUCT($J$62:K$62,$J4:K4)&lt;0.5, "Pending", IF(K4&lt;0.5, "Complete", "In Progress"))</f>
        <v>Complete</v>
      </c>
      <c r="M4" s="22">
        <v>0</v>
      </c>
      <c r="N4" s="22">
        <f>MAX(K4-M4,0)</f>
        <v>0</v>
      </c>
      <c r="O4" s="23" t="str">
        <f>IF(SUMPRODUCT($J$62:N$62,$J4:N4)&lt;0.5, "Pending", IF(N4&lt;0.5, "Complete", "In Progress"))</f>
        <v>Complete</v>
      </c>
      <c r="P4" s="22">
        <v>0</v>
      </c>
      <c r="Q4" s="22">
        <f>MAX(N4-P4,0)</f>
        <v>0</v>
      </c>
      <c r="R4" s="23" t="str">
        <f>IF(SUMPRODUCT($J$62:Q$62,$J4:Q4)&lt;0.5, "Pending", IF(Q4&lt;0.5, "Complete", "In Progress"))</f>
        <v>Complete</v>
      </c>
      <c r="S4" s="22">
        <v>0</v>
      </c>
      <c r="T4" s="22">
        <f>MAX(Q4-S4,0)</f>
        <v>0</v>
      </c>
      <c r="U4" s="23" t="str">
        <f>IF(SUMPRODUCT($J$62:T$62,$J4:T4)&lt;0.5, "Pending", IF(T4&lt;0.5, "Complete", "In Progress"))</f>
        <v>Complete</v>
      </c>
      <c r="V4" s="22">
        <v>0</v>
      </c>
      <c r="W4" s="22">
        <f>MAX(T4-V4,0)</f>
        <v>0</v>
      </c>
      <c r="X4" s="23" t="str">
        <f>IF(SUMPRODUCT($J$62:W$62,$J4:W4)&lt;0.5, "Pending", IF(W4&lt;0.5, "Complete", "In Progress"))</f>
        <v>Complete</v>
      </c>
      <c r="Y4" s="22">
        <v>0</v>
      </c>
      <c r="Z4" s="22">
        <f>MAX(W4-Y4,0)</f>
        <v>0</v>
      </c>
      <c r="AA4" s="23" t="str">
        <f>IF(SUMPRODUCT($J$62:Z$62,$J4:Z4)&lt;0.5, "Pending", IF(Z4&lt;0.5, "Complete", "In Progress"))</f>
        <v>Complete</v>
      </c>
      <c r="AB4" s="22">
        <v>0</v>
      </c>
      <c r="AC4" s="22">
        <f>MAX(Z4-AB4,0)</f>
        <v>0</v>
      </c>
      <c r="AD4" s="23" t="str">
        <f>IF(SUMPRODUCT($J$62:AC$62,$J4:AC4)&lt;0.5, "Pending", IF(AC4&lt;0.5, "Complete", "In Progress"))</f>
        <v>Complete</v>
      </c>
      <c r="AE4" s="22">
        <v>0</v>
      </c>
      <c r="AF4" s="22">
        <f>MAX(AC4-AE4,0)</f>
        <v>0</v>
      </c>
      <c r="AG4" s="23" t="str">
        <f>IF(SUMPRODUCT($J$62:AF$62,$J4:AF4)&lt;0.5, "Pending", IF(AF4&lt;0.5, "Complete", "In Progress"))</f>
        <v>Complete</v>
      </c>
      <c r="AH4" s="22">
        <v>0</v>
      </c>
      <c r="AI4" s="22">
        <f>MAX(AF4-AH4,0)</f>
        <v>0</v>
      </c>
      <c r="AJ4" s="23" t="str">
        <f>IF(SUMPRODUCT($J$62:AI$62,$J4:AI4)&lt;0.5, "Pending", IF(AI4&lt;0.5, "Complete", "In Progress"))</f>
        <v>Complete</v>
      </c>
      <c r="AK4" s="22">
        <v>0</v>
      </c>
      <c r="AL4" s="22">
        <f>MAX(AI4-AK4,0)</f>
        <v>0</v>
      </c>
      <c r="AM4" s="23" t="str">
        <f>IF(SUMPRODUCT($J$62:AL$62,$J4:AL4)&lt;0.5, "Pending", IF(AL4&lt;0.5, "Complete", "In Progress"))</f>
        <v>Complete</v>
      </c>
      <c r="AN4" s="22">
        <v>0</v>
      </c>
      <c r="AO4" s="22">
        <f>MAX(AL4-AN4,0)</f>
        <v>0</v>
      </c>
      <c r="AP4" s="23" t="str">
        <f>IF(SUMPRODUCT($J$62:AO$62,$J4:AO4)&lt;0.5, "Pending", IF(AO4&lt;0.5, "Complete", "In Progress"))</f>
        <v>Complete</v>
      </c>
      <c r="AQ4" s="22">
        <v>0</v>
      </c>
      <c r="AR4" s="22">
        <f>MAX(AO4-AQ4,0)</f>
        <v>0</v>
      </c>
      <c r="AS4" s="23" t="str">
        <f>IF(SUMPRODUCT($J$62:AR$62,$J4:AR4)&lt;0.5, "Pending", IF(AR4&lt;0.5, "Complete", "In Progress"))</f>
        <v>Complete</v>
      </c>
      <c r="AT4" s="22">
        <v>0</v>
      </c>
      <c r="AU4" s="22">
        <f>MAX(AR4-AT4,0)</f>
        <v>0</v>
      </c>
      <c r="AV4" s="23" t="str">
        <f>IF(SUMPRODUCT($J$62:AU$62,$J4:AU4)&lt;0.5, "Pending", IF(AU4&lt;0.5, "Complete", "In Progress"))</f>
        <v>Complete</v>
      </c>
      <c r="AW4" s="22">
        <v>0</v>
      </c>
      <c r="AX4" s="22">
        <f>MAX(AU4-AW4,0)</f>
        <v>0</v>
      </c>
      <c r="AY4" s="23" t="str">
        <f>IF(SUMPRODUCT($J$62:AX$62,$J4:AX4)&lt;0.5, "Pending", IF(AX4&lt;0.5, "Complete", "In Progress"))</f>
        <v>Complete</v>
      </c>
      <c r="AZ4" s="22">
        <v>0</v>
      </c>
      <c r="BA4" s="22">
        <f>MAX(AX4-AZ4,0)</f>
        <v>0</v>
      </c>
      <c r="BB4" s="23" t="str">
        <f>IF(SUMPRODUCT($J$62:BA$62,$J4:BA4)&lt;0.5, "Pending", IF(BA4&lt;0.5, "Complete", "In Progress"))</f>
        <v>Complete</v>
      </c>
      <c r="BC4" s="22">
        <v>0</v>
      </c>
      <c r="BD4" s="22">
        <f>MAX(BA4-BC4,0)</f>
        <v>0</v>
      </c>
      <c r="BE4" s="23" t="str">
        <f>IF(SUMPRODUCT($J$62:BD$62,$J4:BD4)&lt;0.5, "Pending", IF(BD4&lt;0.5, "Complete", "In Progress"))</f>
        <v>Complete</v>
      </c>
      <c r="BF4" s="22">
        <v>0</v>
      </c>
      <c r="BG4" s="22">
        <f>MAX(BD4-BF4,0)</f>
        <v>0</v>
      </c>
      <c r="BH4" s="23" t="str">
        <f>IF(SUMPRODUCT($J$62:BG$62,$J4:BG4)&lt;0.5, "Pending", IF(BG4&lt;0.5, "Complete", "In Progress"))</f>
        <v>Complete</v>
      </c>
      <c r="BI4" s="22">
        <v>0</v>
      </c>
      <c r="BJ4" s="22">
        <f>MAX(BG4-BI4,0)</f>
        <v>0</v>
      </c>
      <c r="BK4" s="23" t="str">
        <f>IF(SUMPRODUCT($J$62:BJ$62,$J4:BJ4)&lt;0.5, "Pending", IF(BJ4&lt;0.5, "Complete", "In Progress"))</f>
        <v>Complete</v>
      </c>
      <c r="BL4" s="22">
        <v>0</v>
      </c>
      <c r="BM4" s="22">
        <f>MAX(BJ4-BL4,0)</f>
        <v>0</v>
      </c>
      <c r="BN4" s="23" t="str">
        <f>IF(SUMPRODUCT($J$62:BM$62,$J4:BM4)&lt;0.5, "Pending", IF(BM4&lt;0.5, "Complete", "In Progress"))</f>
        <v>Complete</v>
      </c>
      <c r="BO4" s="22">
        <v>0</v>
      </c>
      <c r="BP4" s="22">
        <f>MAX(BM4-BO4,0)</f>
        <v>0</v>
      </c>
      <c r="BQ4" s="23" t="str">
        <f>IF(SUMPRODUCT($J$62:BP$62,$J4:BP4)&lt;0.5, "Pending", IF(BP4&lt;0.5, "Complete", "In Progress"))</f>
        <v>Complete</v>
      </c>
      <c r="BR4" s="22">
        <v>0</v>
      </c>
      <c r="BS4" s="22">
        <f>MAX(BP4-BR4,0)</f>
        <v>0</v>
      </c>
      <c r="BT4" s="23" t="str">
        <f>IF(SUMPRODUCT($J$62:BS$62,$J4:BS4)&lt;0.5, "Pending", IF(BS4&lt;0.5, "Complete", "In Progress"))</f>
        <v>Complete</v>
      </c>
      <c r="BU4" s="22">
        <v>0</v>
      </c>
      <c r="BV4" s="22">
        <f>MAX(BS4-BU4,0)</f>
        <v>0</v>
      </c>
      <c r="BW4" s="23" t="str">
        <f>IF(SUMPRODUCT($J$62:BV$62,$J4:BV4)&lt;0.5, "Pending", IF(BV4&lt;0.5, "Complete", "In Progress"))</f>
        <v>Complete</v>
      </c>
      <c r="BX4" s="22">
        <v>0</v>
      </c>
      <c r="BY4" s="22">
        <f>MAX(BV4-BX4,0)</f>
        <v>0</v>
      </c>
      <c r="BZ4" s="23" t="str">
        <f>IF(SUMPRODUCT($J$62:BY$62,$J4:BY4)&lt;0.5, "Pending", IF(BY4&lt;0.5, "Complete", "In Progress"))</f>
        <v>Complete</v>
      </c>
      <c r="CA4" s="22">
        <v>0</v>
      </c>
      <c r="CB4" s="22">
        <f>MAX(BY4-CA4,0)</f>
        <v>0</v>
      </c>
      <c r="CC4" s="23" t="str">
        <f>IF(SUMPRODUCT($J$62:CB$62,$J4:CB4)&lt;0.5, "Pending", IF(CB4&lt;0.5, "Complete", "In Progress"))</f>
        <v>Complete</v>
      </c>
      <c r="CD4" s="22">
        <v>0</v>
      </c>
      <c r="CE4" s="22">
        <f>MAX(CB4-CD4,0)</f>
        <v>0</v>
      </c>
      <c r="CF4" s="23" t="str">
        <f>IF(SUMPRODUCT($J$62:CE$62,$J4:CE4)&lt;0.5, "Pending", IF(CE4&lt;0.5, "Complete", "In Progress"))</f>
        <v>Complete</v>
      </c>
      <c r="CG4" s="22">
        <v>0</v>
      </c>
      <c r="CH4" s="22">
        <f>MAX(CE4-CG4,0)</f>
        <v>0</v>
      </c>
      <c r="CI4" s="23" t="str">
        <f>IF(SUMPRODUCT($J$62:CH$62,$J4:CH4)&lt;0.5, "Pending", IF(CH4&lt;0.5, "Complete", "In Progress"))</f>
        <v>Complete</v>
      </c>
      <c r="CJ4" s="22">
        <v>0</v>
      </c>
      <c r="CK4" s="22">
        <f>MAX(CH4-CJ4,0)</f>
        <v>0</v>
      </c>
      <c r="CL4" s="23" t="str">
        <f>IF(SUMPRODUCT($J$62:CK$62,$J4:CK4)&lt;0.5, "Pending", IF(CK4&lt;0.5, "Complete", "In Progress"))</f>
        <v>Complete</v>
      </c>
      <c r="CM4" s="22">
        <v>0</v>
      </c>
      <c r="CN4" s="22">
        <f>MAX(CK4-CM4,0)</f>
        <v>0</v>
      </c>
      <c r="CO4" s="23" t="str">
        <f>IF(SUMPRODUCT($J$62:CN$62,$J4:CN4)&lt;0.5, "Pending", IF(CN4&lt;0.5, "Complete", "In Progress"))</f>
        <v>Complete</v>
      </c>
      <c r="CP4" s="22">
        <v>0</v>
      </c>
      <c r="CQ4" s="22">
        <f>MAX(CN4-CP4,0)</f>
        <v>0</v>
      </c>
      <c r="CR4" s="23" t="str">
        <f>IF(SUMPRODUCT($J$62:CQ$62,$J4:CQ4)&lt;0.5, "Pending", IF(CQ4&lt;0.5, "Complete", "In Progress"))</f>
        <v>Complete</v>
      </c>
      <c r="CS4" s="22">
        <v>0</v>
      </c>
      <c r="CT4" s="22">
        <f>MAX(CQ4-CS4,0)</f>
        <v>0</v>
      </c>
      <c r="CU4" s="23" t="str">
        <f>IF(SUMPRODUCT($J$62:CT$62,$J4:CT4)&lt;0.5, "Pending", IF(CT4&lt;0.5, "Complete", "In Progress"))</f>
        <v>Complete</v>
      </c>
      <c r="CV4" s="22">
        <v>0</v>
      </c>
      <c r="CW4" s="22">
        <f t="shared" ref="CW4:CW15" si="1">MAX(CT4-CV4,0)</f>
        <v>0</v>
      </c>
      <c r="CX4" s="23" t="str">
        <f>IF(SUMPRODUCT($J$62:CW$62,$J4:CW4)&lt;0.5, "Pending", IF(CW4&lt;0.5, "Complete", "In Progress"))</f>
        <v>Complete</v>
      </c>
      <c r="CY4" s="22">
        <v>0</v>
      </c>
      <c r="CZ4" s="22">
        <f t="shared" ref="CZ4:CZ15" si="2">MAX(CW4-CY4,0)</f>
        <v>0</v>
      </c>
      <c r="DA4" s="23" t="str">
        <f>IF(SUMPRODUCT($J$62:CZ$62,$J4:CZ4)&lt;0.5, "Pending", IF(CZ4&lt;0.5, "Complete", "In Progress"))</f>
        <v>Complete</v>
      </c>
      <c r="DB4" s="22">
        <v>0</v>
      </c>
      <c r="DC4" s="22">
        <f t="shared" ref="DC4:DC15" si="3">MAX(CZ4-DB4,0)</f>
        <v>0</v>
      </c>
      <c r="DD4" s="23" t="str">
        <f>IF(SUMPRODUCT($J$62:DC$62,$J4:DC4)&lt;0.5, "Pending", IF(DC4&lt;0.5, "Complete", "In Progress"))</f>
        <v>Complete</v>
      </c>
      <c r="DE4" s="22">
        <v>0</v>
      </c>
      <c r="DF4" s="22">
        <f t="shared" ref="DF4:DF15" si="4">MAX(DC4-DE4,0)</f>
        <v>0</v>
      </c>
      <c r="DG4" s="23" t="str">
        <f>IF(SUMPRODUCT($J$62:DF$62,$J4:DF4)&lt;0.5, "Pending", IF(DF4&lt;0.5, "Complete", "In Progress"))</f>
        <v>Complete</v>
      </c>
      <c r="DH4" s="22">
        <v>0</v>
      </c>
      <c r="DI4" s="22">
        <f t="shared" ref="DI4:DI15" si="5">MAX(DF4-DH4,0)</f>
        <v>0</v>
      </c>
      <c r="DJ4" s="23" t="str">
        <f>IF(SUMPRODUCT($J$62:DI$62,$J4:DI4)&lt;0.5, "Pending", IF(DI4&lt;0.5, "Complete", "In Progress"))</f>
        <v>Complete</v>
      </c>
      <c r="DK4" s="22">
        <v>0</v>
      </c>
      <c r="DL4" s="22">
        <f t="shared" ref="DL4:DL15" si="6">MAX(DI4-DK4,0)</f>
        <v>0</v>
      </c>
      <c r="DM4" s="23" t="str">
        <f>IF(SUMPRODUCT($J$62:DL$62,$J4:DL4)&lt;0.5, "Pending", IF(DL4&lt;0.5, "Complete", "In Progress"))</f>
        <v>Complete</v>
      </c>
      <c r="DN4" s="22">
        <v>0</v>
      </c>
      <c r="DO4" s="22">
        <f t="shared" ref="DO4:DO15" si="7">MAX(DL4-DN4,0)</f>
        <v>0</v>
      </c>
      <c r="DP4" s="23" t="str">
        <f>IF(SUMPRODUCT($J$62:DO$62,$J4:DO4)&lt;0.5, "Pending", IF(DO4&lt;0.5, "Complete", "In Progress"))</f>
        <v>Complete</v>
      </c>
      <c r="DQ4" s="22">
        <v>0</v>
      </c>
      <c r="DR4" s="22">
        <f t="shared" ref="DR4:DR15" si="8">MAX(DO4-DQ4,0)</f>
        <v>0</v>
      </c>
      <c r="DS4" s="23" t="str">
        <f>IF(SUMPRODUCT($J$62:DR$62,$J4:DR4)&lt;0.5, "Pending", IF(DR4&lt;0.5, "Complete", "In Progress"))</f>
        <v>Complete</v>
      </c>
      <c r="DT4" s="22">
        <v>0</v>
      </c>
      <c r="DU4" s="22">
        <f t="shared" ref="DU4:DU15" si="9">MAX(DR4-DT4,0)</f>
        <v>0</v>
      </c>
      <c r="DV4" s="23" t="str">
        <f>IF(SUMPRODUCT($J$62:DU$62,$J4:DU4)&lt;0.5, "Pending", IF(DU4&lt;0.5, "Complete", "In Progress"))</f>
        <v>Complete</v>
      </c>
      <c r="DW4" s="22">
        <v>0</v>
      </c>
      <c r="DX4" s="22">
        <f t="shared" ref="DX4:DX15" si="10">MAX(DU4-DW4,0)</f>
        <v>0</v>
      </c>
      <c r="DY4" s="23" t="str">
        <f>IF(SUMPRODUCT($J$62:DX$62,$J4:DX4)&lt;0.5, "Pending", IF(DX4&lt;0.5, "Complete", "In Progress"))</f>
        <v>Complete</v>
      </c>
      <c r="DZ4" s="24"/>
      <c r="EA4" s="25">
        <f>SUMPRODUCT($H$62:DG$62,$H4:DG4)</f>
        <v>3</v>
      </c>
    </row>
    <row r="5" spans="1:131" x14ac:dyDescent="0.25">
      <c r="A5" s="16" t="s">
        <v>124</v>
      </c>
      <c r="B5" s="16" t="s">
        <v>120</v>
      </c>
      <c r="C5" s="16" t="s">
        <v>121</v>
      </c>
      <c r="D5" s="17">
        <v>1</v>
      </c>
      <c r="E5" s="199" t="s">
        <v>125</v>
      </c>
      <c r="F5" s="18" t="s">
        <v>126</v>
      </c>
      <c r="G5" s="19" t="str">
        <f t="shared" ca="1" si="0"/>
        <v>Complete</v>
      </c>
      <c r="H5" s="20">
        <v>1</v>
      </c>
      <c r="I5" s="21">
        <v>2</v>
      </c>
      <c r="J5" s="22">
        <v>2</v>
      </c>
      <c r="K5" s="22">
        <f t="shared" ref="K5:K59" si="11">MAX(I5-J5, 0)</f>
        <v>0</v>
      </c>
      <c r="L5" s="23" t="str">
        <f>IF(SUMPRODUCT($J$62:K$62,$J5:K5)&lt;0.5, "Pending", IF(K5&lt;0.5, "Complete", "In Progress"))</f>
        <v>Complete</v>
      </c>
      <c r="M5" s="22">
        <v>0</v>
      </c>
      <c r="N5" s="22">
        <f t="shared" ref="N5:N59" si="12">MAX(K5-M5,0)</f>
        <v>0</v>
      </c>
      <c r="O5" s="23" t="str">
        <f>IF(SUMPRODUCT($J$62:N$62,$J5:N5)&lt;0.5, "Pending", IF(N5&lt;0.5, "Complete", "In Progress"))</f>
        <v>Complete</v>
      </c>
      <c r="P5" s="22">
        <v>0</v>
      </c>
      <c r="Q5" s="22">
        <f t="shared" ref="Q5:Q59" si="13">MAX(N5-P5,0)</f>
        <v>0</v>
      </c>
      <c r="R5" s="23" t="str">
        <f>IF(SUMPRODUCT($J$62:Q$62,$J5:Q5)&lt;0.5, "Pending", IF(Q5&lt;0.5, "Complete", "In Progress"))</f>
        <v>Complete</v>
      </c>
      <c r="S5" s="22">
        <v>0</v>
      </c>
      <c r="T5" s="22">
        <f t="shared" ref="T5:T59" si="14">MAX(Q5-S5,0)</f>
        <v>0</v>
      </c>
      <c r="U5" s="23" t="str">
        <f>IF(SUMPRODUCT($J$62:T$62,$J5:T5)&lt;0.5, "Pending", IF(T5&lt;0.5, "Complete", "In Progress"))</f>
        <v>Complete</v>
      </c>
      <c r="V5" s="22">
        <v>0</v>
      </c>
      <c r="W5" s="22">
        <f t="shared" ref="W5:W59" si="15">MAX(T5-V5,0)</f>
        <v>0</v>
      </c>
      <c r="X5" s="23" t="str">
        <f>IF(SUMPRODUCT($J$62:W$62,$J5:W5)&lt;0.5, "Pending", IF(W5&lt;0.5, "Complete", "In Progress"))</f>
        <v>Complete</v>
      </c>
      <c r="Y5" s="22">
        <v>0</v>
      </c>
      <c r="Z5" s="22">
        <f t="shared" ref="Z5:Z59" si="16">MAX(W5-Y5,0)</f>
        <v>0</v>
      </c>
      <c r="AA5" s="23" t="str">
        <f>IF(SUMPRODUCT($J$62:Z$62,$J5:Z5)&lt;0.5, "Pending", IF(Z5&lt;0.5, "Complete", "In Progress"))</f>
        <v>Complete</v>
      </c>
      <c r="AB5" s="22">
        <v>0</v>
      </c>
      <c r="AC5" s="22">
        <f t="shared" ref="AC5:AC59" si="17">MAX(Z5-AB5,0)</f>
        <v>0</v>
      </c>
      <c r="AD5" s="23" t="str">
        <f>IF(SUMPRODUCT($J$62:AC$62,$J5:AC5)&lt;0.5, "Pending", IF(AC5&lt;0.5, "Complete", "In Progress"))</f>
        <v>Complete</v>
      </c>
      <c r="AE5" s="22">
        <v>0</v>
      </c>
      <c r="AF5" s="22">
        <f t="shared" ref="AF5:AF59" si="18">MAX(AC5-AE5,0)</f>
        <v>0</v>
      </c>
      <c r="AG5" s="23" t="str">
        <f>IF(SUMPRODUCT($J$62:AF$62,$J5:AF5)&lt;0.5, "Pending", IF(AF5&lt;0.5, "Complete", "In Progress"))</f>
        <v>Complete</v>
      </c>
      <c r="AH5" s="22">
        <v>0</v>
      </c>
      <c r="AI5" s="22">
        <f t="shared" ref="AI5:AI59" si="19">MAX(AF5-AH5,0)</f>
        <v>0</v>
      </c>
      <c r="AJ5" s="23" t="str">
        <f>IF(SUMPRODUCT($J$62:AI$62,$J5:AI5)&lt;0.5, "Pending", IF(AI5&lt;0.5, "Complete", "In Progress"))</f>
        <v>Complete</v>
      </c>
      <c r="AK5" s="22">
        <v>0</v>
      </c>
      <c r="AL5" s="22">
        <f t="shared" ref="AL5:AL59" si="20">MAX(AI5-AK5,0)</f>
        <v>0</v>
      </c>
      <c r="AM5" s="23" t="str">
        <f>IF(SUMPRODUCT($J$62:AL$62,$J5:AL5)&lt;0.5, "Pending", IF(AL5&lt;0.5, "Complete", "In Progress"))</f>
        <v>Complete</v>
      </c>
      <c r="AN5" s="22">
        <v>0</v>
      </c>
      <c r="AO5" s="22">
        <f t="shared" ref="AO5:AO59" si="21">MAX(AL5-AN5,0)</f>
        <v>0</v>
      </c>
      <c r="AP5" s="23" t="str">
        <f>IF(SUMPRODUCT($J$62:AO$62,$J5:AO5)&lt;0.5, "Pending", IF(AO5&lt;0.5, "Complete", "In Progress"))</f>
        <v>Complete</v>
      </c>
      <c r="AQ5" s="22">
        <v>0</v>
      </c>
      <c r="AR5" s="22">
        <f t="shared" ref="AR5:AR59" si="22">MAX(AO5-AQ5,0)</f>
        <v>0</v>
      </c>
      <c r="AS5" s="23" t="str">
        <f>IF(SUMPRODUCT($J$62:AR$62,$J5:AR5)&lt;0.5, "Pending", IF(AR5&lt;0.5, "Complete", "In Progress"))</f>
        <v>Complete</v>
      </c>
      <c r="AT5" s="22">
        <v>0</v>
      </c>
      <c r="AU5" s="22">
        <f t="shared" ref="AU5:AU59" si="23">MAX(AR5-AT5,0)</f>
        <v>0</v>
      </c>
      <c r="AV5" s="23" t="str">
        <f>IF(SUMPRODUCT($J$62:AU$62,$J5:AU5)&lt;0.5, "Pending", IF(AU5&lt;0.5, "Complete", "In Progress"))</f>
        <v>Complete</v>
      </c>
      <c r="AW5" s="22">
        <v>0</v>
      </c>
      <c r="AX5" s="22">
        <f t="shared" ref="AX5:AX59" si="24">MAX(AU5-AW5,0)</f>
        <v>0</v>
      </c>
      <c r="AY5" s="23" t="str">
        <f>IF(SUMPRODUCT($J$62:AX$62,$J5:AX5)&lt;0.5, "Pending", IF(AX5&lt;0.5, "Complete", "In Progress"))</f>
        <v>Complete</v>
      </c>
      <c r="AZ5" s="22">
        <v>0</v>
      </c>
      <c r="BA5" s="22">
        <f t="shared" ref="BA5:BA59" si="25">MAX(AX5-AZ5,0)</f>
        <v>0</v>
      </c>
      <c r="BB5" s="23" t="str">
        <f>IF(SUMPRODUCT($J$62:BA$62,$J5:BA5)&lt;0.5, "Pending", IF(BA5&lt;0.5, "Complete", "In Progress"))</f>
        <v>Complete</v>
      </c>
      <c r="BC5" s="22">
        <v>0</v>
      </c>
      <c r="BD5" s="22">
        <f t="shared" ref="BD5:BD59" si="26">MAX(BA5-BC5,0)</f>
        <v>0</v>
      </c>
      <c r="BE5" s="23" t="str">
        <f>IF(SUMPRODUCT($J$62:BD$62,$J5:BD5)&lt;0.5, "Pending", IF(BD5&lt;0.5, "Complete", "In Progress"))</f>
        <v>Complete</v>
      </c>
      <c r="BF5" s="22">
        <v>0</v>
      </c>
      <c r="BG5" s="22">
        <f t="shared" ref="BG5:BG59" si="27">MAX(BD5-BF5,0)</f>
        <v>0</v>
      </c>
      <c r="BH5" s="23" t="str">
        <f>IF(SUMPRODUCT($J$62:BG$62,$J5:BG5)&lt;0.5, "Pending", IF(BG5&lt;0.5, "Complete", "In Progress"))</f>
        <v>Complete</v>
      </c>
      <c r="BI5" s="22">
        <v>0</v>
      </c>
      <c r="BJ5" s="22">
        <f t="shared" ref="BJ5:BJ59" si="28">MAX(BG5-BI5,0)</f>
        <v>0</v>
      </c>
      <c r="BK5" s="23" t="str">
        <f>IF(SUMPRODUCT($J$62:BJ$62,$J5:BJ5)&lt;0.5, "Pending", IF(BJ5&lt;0.5, "Complete", "In Progress"))</f>
        <v>Complete</v>
      </c>
      <c r="BL5" s="22">
        <v>0</v>
      </c>
      <c r="BM5" s="22">
        <f t="shared" ref="BM5:BM59" si="29">MAX(BJ5-BL5,0)</f>
        <v>0</v>
      </c>
      <c r="BN5" s="23" t="str">
        <f>IF(SUMPRODUCT($J$62:BM$62,$J5:BM5)&lt;0.5, "Pending", IF(BM5&lt;0.5, "Complete", "In Progress"))</f>
        <v>Complete</v>
      </c>
      <c r="BO5" s="22">
        <v>0</v>
      </c>
      <c r="BP5" s="22">
        <f t="shared" ref="BP5:BP59" si="30">MAX(BM5-BO5,0)</f>
        <v>0</v>
      </c>
      <c r="BQ5" s="23" t="str">
        <f>IF(SUMPRODUCT($J$62:BP$62,$J5:BP5)&lt;0.5, "Pending", IF(BP5&lt;0.5, "Complete", "In Progress"))</f>
        <v>Complete</v>
      </c>
      <c r="BR5" s="22">
        <v>0</v>
      </c>
      <c r="BS5" s="22">
        <f t="shared" ref="BS5:BS59" si="31">MAX(BP5-BR5,0)</f>
        <v>0</v>
      </c>
      <c r="BT5" s="23" t="str">
        <f>IF(SUMPRODUCT($J$62:BS$62,$J5:BS5)&lt;0.5, "Pending", IF(BS5&lt;0.5, "Complete", "In Progress"))</f>
        <v>Complete</v>
      </c>
      <c r="BU5" s="22">
        <v>0</v>
      </c>
      <c r="BV5" s="22">
        <f t="shared" ref="BV5:BV59" si="32">MAX(BS5-BU5,0)</f>
        <v>0</v>
      </c>
      <c r="BW5" s="23" t="str">
        <f>IF(SUMPRODUCT($J$62:BV$62,$J5:BV5)&lt;0.5, "Pending", IF(BV5&lt;0.5, "Complete", "In Progress"))</f>
        <v>Complete</v>
      </c>
      <c r="BX5" s="22">
        <v>0</v>
      </c>
      <c r="BY5" s="22">
        <f t="shared" ref="BY5:BY59" si="33">MAX(BV5-BX5,0)</f>
        <v>0</v>
      </c>
      <c r="BZ5" s="23" t="str">
        <f>IF(SUMPRODUCT($J$62:BY$62,$J5:BY5)&lt;0.5, "Pending", IF(BY5&lt;0.5, "Complete", "In Progress"))</f>
        <v>Complete</v>
      </c>
      <c r="CA5" s="22">
        <v>0</v>
      </c>
      <c r="CB5" s="22">
        <f t="shared" ref="CB5:CB59" si="34">MAX(BY5-CA5,0)</f>
        <v>0</v>
      </c>
      <c r="CC5" s="23" t="str">
        <f>IF(SUMPRODUCT($J$62:CB$62,$J5:CB5)&lt;0.5, "Pending", IF(CB5&lt;0.5, "Complete", "In Progress"))</f>
        <v>Complete</v>
      </c>
      <c r="CD5" s="22">
        <v>0</v>
      </c>
      <c r="CE5" s="22">
        <f t="shared" ref="CE5:CE59" si="35">MAX(CB5-CD5,0)</f>
        <v>0</v>
      </c>
      <c r="CF5" s="23" t="str">
        <f>IF(SUMPRODUCT($J$62:CE$62,$J5:CE5)&lt;0.5, "Pending", IF(CE5&lt;0.5, "Complete", "In Progress"))</f>
        <v>Complete</v>
      </c>
      <c r="CG5" s="22">
        <v>0</v>
      </c>
      <c r="CH5" s="22">
        <f t="shared" ref="CH5:CH59" si="36">MAX(CE5-CG5,0)</f>
        <v>0</v>
      </c>
      <c r="CI5" s="23" t="str">
        <f>IF(SUMPRODUCT($J$62:CH$62,$J5:CH5)&lt;0.5, "Pending", IF(CH5&lt;0.5, "Complete", "In Progress"))</f>
        <v>Complete</v>
      </c>
      <c r="CJ5" s="22">
        <v>0</v>
      </c>
      <c r="CK5" s="22">
        <f t="shared" ref="CK5:CK59" si="37">MAX(CH5-CJ5,0)</f>
        <v>0</v>
      </c>
      <c r="CL5" s="23" t="str">
        <f>IF(SUMPRODUCT($J$62:CK$62,$J5:CK5)&lt;0.5, "Pending", IF(CK5&lt;0.5, "Complete", "In Progress"))</f>
        <v>Complete</v>
      </c>
      <c r="CM5" s="22">
        <v>0</v>
      </c>
      <c r="CN5" s="22">
        <f t="shared" ref="CN5:CN59" si="38">MAX(CK5-CM5,0)</f>
        <v>0</v>
      </c>
      <c r="CO5" s="23" t="str">
        <f>IF(SUMPRODUCT($J$62:CN$62,$J5:CN5)&lt;0.5, "Pending", IF(CN5&lt;0.5, "Complete", "In Progress"))</f>
        <v>Complete</v>
      </c>
      <c r="CP5" s="22">
        <v>0</v>
      </c>
      <c r="CQ5" s="22">
        <f t="shared" ref="CQ5:CQ59" si="39">MAX(CN5-CP5,0)</f>
        <v>0</v>
      </c>
      <c r="CR5" s="23" t="str">
        <f>IF(SUMPRODUCT($J$62:CQ$62,$J5:CQ5)&lt;0.5, "Pending", IF(CQ5&lt;0.5, "Complete", "In Progress"))</f>
        <v>Complete</v>
      </c>
      <c r="CS5" s="22">
        <v>0</v>
      </c>
      <c r="CT5" s="22">
        <f t="shared" ref="CT5:CT59" si="40">MAX(CQ5-CS5,0)</f>
        <v>0</v>
      </c>
      <c r="CU5" s="23" t="str">
        <f>IF(SUMPRODUCT($J$62:CT$62,$J5:CT5)&lt;0.5, "Pending", IF(CT5&lt;0.5, "Complete", "In Progress"))</f>
        <v>Complete</v>
      </c>
      <c r="CV5" s="22">
        <v>0</v>
      </c>
      <c r="CW5" s="22">
        <f t="shared" si="1"/>
        <v>0</v>
      </c>
      <c r="CX5" s="23" t="str">
        <f>IF(SUMPRODUCT($J$62:CW$62,$J5:CW5)&lt;0.5, "Pending", IF(CW5&lt;0.5, "Complete", "In Progress"))</f>
        <v>Complete</v>
      </c>
      <c r="CY5" s="22">
        <v>0</v>
      </c>
      <c r="CZ5" s="22">
        <f t="shared" si="2"/>
        <v>0</v>
      </c>
      <c r="DA5" s="23" t="str">
        <f>IF(SUMPRODUCT($J$62:CZ$62,$J5:CZ5)&lt;0.5, "Pending", IF(CZ5&lt;0.5, "Complete", "In Progress"))</f>
        <v>Complete</v>
      </c>
      <c r="DB5" s="22">
        <v>0</v>
      </c>
      <c r="DC5" s="22">
        <f t="shared" si="3"/>
        <v>0</v>
      </c>
      <c r="DD5" s="23" t="str">
        <f>IF(SUMPRODUCT($J$62:DC$62,$J5:DC5)&lt;0.5, "Pending", IF(DC5&lt;0.5, "Complete", "In Progress"))</f>
        <v>Complete</v>
      </c>
      <c r="DE5" s="22">
        <v>0</v>
      </c>
      <c r="DF5" s="22">
        <f t="shared" si="4"/>
        <v>0</v>
      </c>
      <c r="DG5" s="23" t="str">
        <f>IF(SUMPRODUCT($J$62:DF$62,$J5:DF5)&lt;0.5, "Pending", IF(DF5&lt;0.5, "Complete", "In Progress"))</f>
        <v>Complete</v>
      </c>
      <c r="DH5" s="22">
        <v>0</v>
      </c>
      <c r="DI5" s="22">
        <f t="shared" si="5"/>
        <v>0</v>
      </c>
      <c r="DJ5" s="23" t="str">
        <f>IF(SUMPRODUCT($J$62:DI$62,$J5:DI5)&lt;0.5, "Pending", IF(DI5&lt;0.5, "Complete", "In Progress"))</f>
        <v>Complete</v>
      </c>
      <c r="DK5" s="22">
        <v>0</v>
      </c>
      <c r="DL5" s="22">
        <f t="shared" si="6"/>
        <v>0</v>
      </c>
      <c r="DM5" s="23" t="str">
        <f>IF(SUMPRODUCT($J$62:DL$62,$J5:DL5)&lt;0.5, "Pending", IF(DL5&lt;0.5, "Complete", "In Progress"))</f>
        <v>Complete</v>
      </c>
      <c r="DN5" s="22">
        <v>0</v>
      </c>
      <c r="DO5" s="22">
        <f t="shared" si="7"/>
        <v>0</v>
      </c>
      <c r="DP5" s="23" t="str">
        <f>IF(SUMPRODUCT($J$62:DO$62,$J5:DO5)&lt;0.5, "Pending", IF(DO5&lt;0.5, "Complete", "In Progress"))</f>
        <v>Complete</v>
      </c>
      <c r="DQ5" s="22">
        <v>0</v>
      </c>
      <c r="DR5" s="22">
        <f t="shared" si="8"/>
        <v>0</v>
      </c>
      <c r="DS5" s="23" t="str">
        <f>IF(SUMPRODUCT($J$62:DR$62,$J5:DR5)&lt;0.5, "Pending", IF(DR5&lt;0.5, "Complete", "In Progress"))</f>
        <v>Complete</v>
      </c>
      <c r="DT5" s="22">
        <v>0</v>
      </c>
      <c r="DU5" s="22">
        <f t="shared" si="9"/>
        <v>0</v>
      </c>
      <c r="DV5" s="23" t="str">
        <f>IF(SUMPRODUCT($J$62:DU$62,$J5:DU5)&lt;0.5, "Pending", IF(DU5&lt;0.5, "Complete", "In Progress"))</f>
        <v>Complete</v>
      </c>
      <c r="DW5" s="22">
        <v>0</v>
      </c>
      <c r="DX5" s="22">
        <f t="shared" si="10"/>
        <v>0</v>
      </c>
      <c r="DY5" s="23" t="str">
        <f>IF(SUMPRODUCT($J$62:DX$62,$J5:DX5)&lt;0.5, "Pending", IF(DX5&lt;0.5, "Complete", "In Progress"))</f>
        <v>Complete</v>
      </c>
      <c r="DZ5" s="24"/>
      <c r="EA5" s="25">
        <f>SUMPRODUCT($H$62:DG$62,$H5:DG5)</f>
        <v>2</v>
      </c>
    </row>
    <row r="6" spans="1:131" x14ac:dyDescent="0.25">
      <c r="A6" s="16" t="s">
        <v>124</v>
      </c>
      <c r="B6" s="16" t="s">
        <v>120</v>
      </c>
      <c r="C6" s="16" t="s">
        <v>121</v>
      </c>
      <c r="D6" s="17">
        <v>1</v>
      </c>
      <c r="E6" s="199" t="s">
        <v>125</v>
      </c>
      <c r="F6" s="18" t="s">
        <v>123</v>
      </c>
      <c r="G6" s="19" t="str">
        <f t="shared" ca="1" si="0"/>
        <v>Complete</v>
      </c>
      <c r="H6" s="20">
        <v>1</v>
      </c>
      <c r="I6" s="21">
        <v>2</v>
      </c>
      <c r="J6" s="22">
        <v>2</v>
      </c>
      <c r="K6" s="22">
        <f t="shared" si="11"/>
        <v>0</v>
      </c>
      <c r="L6" s="23" t="str">
        <f>IF(SUMPRODUCT($J$62:K$62,$J6:K6)&lt;0.5, "Pending", IF(K6&lt;0.5, "Complete", "In Progress"))</f>
        <v>Complete</v>
      </c>
      <c r="M6" s="22">
        <v>0</v>
      </c>
      <c r="N6" s="22">
        <f t="shared" si="12"/>
        <v>0</v>
      </c>
      <c r="O6" s="23" t="str">
        <f>IF(SUMPRODUCT($J$62:N$62,$J6:N6)&lt;0.5, "Pending", IF(N6&lt;0.5, "Complete", "In Progress"))</f>
        <v>Complete</v>
      </c>
      <c r="P6" s="22">
        <v>0</v>
      </c>
      <c r="Q6" s="22">
        <f t="shared" si="13"/>
        <v>0</v>
      </c>
      <c r="R6" s="23" t="str">
        <f>IF(SUMPRODUCT($J$62:Q$62,$J6:Q6)&lt;0.5, "Pending", IF(Q6&lt;0.5, "Complete", "In Progress"))</f>
        <v>Complete</v>
      </c>
      <c r="S6" s="22">
        <v>0</v>
      </c>
      <c r="T6" s="22">
        <f t="shared" si="14"/>
        <v>0</v>
      </c>
      <c r="U6" s="23" t="str">
        <f>IF(SUMPRODUCT($J$62:T$62,$J6:T6)&lt;0.5, "Pending", IF(T6&lt;0.5, "Complete", "In Progress"))</f>
        <v>Complete</v>
      </c>
      <c r="V6" s="22">
        <v>0</v>
      </c>
      <c r="W6" s="22">
        <f t="shared" si="15"/>
        <v>0</v>
      </c>
      <c r="X6" s="23" t="str">
        <f>IF(SUMPRODUCT($J$62:W$62,$J6:W6)&lt;0.5, "Pending", IF(W6&lt;0.5, "Complete", "In Progress"))</f>
        <v>Complete</v>
      </c>
      <c r="Y6" s="22">
        <v>0</v>
      </c>
      <c r="Z6" s="22">
        <f t="shared" si="16"/>
        <v>0</v>
      </c>
      <c r="AA6" s="23" t="str">
        <f>IF(SUMPRODUCT($J$62:Z$62,$J6:Z6)&lt;0.5, "Pending", IF(Z6&lt;0.5, "Complete", "In Progress"))</f>
        <v>Complete</v>
      </c>
      <c r="AB6" s="22">
        <v>0</v>
      </c>
      <c r="AC6" s="22">
        <f t="shared" si="17"/>
        <v>0</v>
      </c>
      <c r="AD6" s="23" t="str">
        <f>IF(SUMPRODUCT($J$62:AC$62,$J6:AC6)&lt;0.5, "Pending", IF(AC6&lt;0.5, "Complete", "In Progress"))</f>
        <v>Complete</v>
      </c>
      <c r="AE6" s="22">
        <v>0</v>
      </c>
      <c r="AF6" s="22">
        <f t="shared" si="18"/>
        <v>0</v>
      </c>
      <c r="AG6" s="23" t="str">
        <f>IF(SUMPRODUCT($J$62:AF$62,$J6:AF6)&lt;0.5, "Pending", IF(AF6&lt;0.5, "Complete", "In Progress"))</f>
        <v>Complete</v>
      </c>
      <c r="AH6" s="22">
        <v>0</v>
      </c>
      <c r="AI6" s="22">
        <f t="shared" si="19"/>
        <v>0</v>
      </c>
      <c r="AJ6" s="23" t="str">
        <f>IF(SUMPRODUCT($J$62:AI$62,$J6:AI6)&lt;0.5, "Pending", IF(AI6&lt;0.5, "Complete", "In Progress"))</f>
        <v>Complete</v>
      </c>
      <c r="AK6" s="22">
        <v>0</v>
      </c>
      <c r="AL6" s="22">
        <f t="shared" si="20"/>
        <v>0</v>
      </c>
      <c r="AM6" s="23" t="str">
        <f>IF(SUMPRODUCT($J$62:AL$62,$J6:AL6)&lt;0.5, "Pending", IF(AL6&lt;0.5, "Complete", "In Progress"))</f>
        <v>Complete</v>
      </c>
      <c r="AN6" s="22">
        <v>0</v>
      </c>
      <c r="AO6" s="22">
        <f t="shared" si="21"/>
        <v>0</v>
      </c>
      <c r="AP6" s="23" t="str">
        <f>IF(SUMPRODUCT($J$62:AO$62,$J6:AO6)&lt;0.5, "Pending", IF(AO6&lt;0.5, "Complete", "In Progress"))</f>
        <v>Complete</v>
      </c>
      <c r="AQ6" s="22">
        <v>0</v>
      </c>
      <c r="AR6" s="22">
        <f t="shared" si="22"/>
        <v>0</v>
      </c>
      <c r="AS6" s="23" t="str">
        <f>IF(SUMPRODUCT($J$62:AR$62,$J6:AR6)&lt;0.5, "Pending", IF(AR6&lt;0.5, "Complete", "In Progress"))</f>
        <v>Complete</v>
      </c>
      <c r="AT6" s="22">
        <v>0</v>
      </c>
      <c r="AU6" s="22">
        <f t="shared" si="23"/>
        <v>0</v>
      </c>
      <c r="AV6" s="23" t="str">
        <f>IF(SUMPRODUCT($J$62:AU$62,$J6:AU6)&lt;0.5, "Pending", IF(AU6&lt;0.5, "Complete", "In Progress"))</f>
        <v>Complete</v>
      </c>
      <c r="AW6" s="22">
        <v>0</v>
      </c>
      <c r="AX6" s="22">
        <f t="shared" si="24"/>
        <v>0</v>
      </c>
      <c r="AY6" s="23" t="str">
        <f>IF(SUMPRODUCT($J$62:AX$62,$J6:AX6)&lt;0.5, "Pending", IF(AX6&lt;0.5, "Complete", "In Progress"))</f>
        <v>Complete</v>
      </c>
      <c r="AZ6" s="22">
        <v>0</v>
      </c>
      <c r="BA6" s="22">
        <f t="shared" si="25"/>
        <v>0</v>
      </c>
      <c r="BB6" s="23" t="str">
        <f>IF(SUMPRODUCT($J$62:BA$62,$J6:BA6)&lt;0.5, "Pending", IF(BA6&lt;0.5, "Complete", "In Progress"))</f>
        <v>Complete</v>
      </c>
      <c r="BC6" s="22">
        <v>0</v>
      </c>
      <c r="BD6" s="22">
        <f t="shared" si="26"/>
        <v>0</v>
      </c>
      <c r="BE6" s="23" t="str">
        <f>IF(SUMPRODUCT($J$62:BD$62,$J6:BD6)&lt;0.5, "Pending", IF(BD6&lt;0.5, "Complete", "In Progress"))</f>
        <v>Complete</v>
      </c>
      <c r="BF6" s="22">
        <v>0</v>
      </c>
      <c r="BG6" s="22">
        <f t="shared" si="27"/>
        <v>0</v>
      </c>
      <c r="BH6" s="23" t="str">
        <f>IF(SUMPRODUCT($J$62:BG$62,$J6:BG6)&lt;0.5, "Pending", IF(BG6&lt;0.5, "Complete", "In Progress"))</f>
        <v>Complete</v>
      </c>
      <c r="BI6" s="22">
        <v>0</v>
      </c>
      <c r="BJ6" s="22">
        <f t="shared" si="28"/>
        <v>0</v>
      </c>
      <c r="BK6" s="23" t="str">
        <f>IF(SUMPRODUCT($J$62:BJ$62,$J6:BJ6)&lt;0.5, "Pending", IF(BJ6&lt;0.5, "Complete", "In Progress"))</f>
        <v>Complete</v>
      </c>
      <c r="BL6" s="22">
        <v>0</v>
      </c>
      <c r="BM6" s="22">
        <f t="shared" si="29"/>
        <v>0</v>
      </c>
      <c r="BN6" s="23" t="str">
        <f>IF(SUMPRODUCT($J$62:BM$62,$J6:BM6)&lt;0.5, "Pending", IF(BM6&lt;0.5, "Complete", "In Progress"))</f>
        <v>Complete</v>
      </c>
      <c r="BO6" s="22">
        <v>0</v>
      </c>
      <c r="BP6" s="22">
        <f t="shared" si="30"/>
        <v>0</v>
      </c>
      <c r="BQ6" s="23" t="str">
        <f>IF(SUMPRODUCT($J$62:BP$62,$J6:BP6)&lt;0.5, "Pending", IF(BP6&lt;0.5, "Complete", "In Progress"))</f>
        <v>Complete</v>
      </c>
      <c r="BR6" s="22">
        <v>0</v>
      </c>
      <c r="BS6" s="22">
        <f t="shared" si="31"/>
        <v>0</v>
      </c>
      <c r="BT6" s="23" t="str">
        <f>IF(SUMPRODUCT($J$62:BS$62,$J6:BS6)&lt;0.5, "Pending", IF(BS6&lt;0.5, "Complete", "In Progress"))</f>
        <v>Complete</v>
      </c>
      <c r="BU6" s="22">
        <v>0</v>
      </c>
      <c r="BV6" s="22">
        <f t="shared" si="32"/>
        <v>0</v>
      </c>
      <c r="BW6" s="23" t="str">
        <f>IF(SUMPRODUCT($J$62:BV$62,$J6:BV6)&lt;0.5, "Pending", IF(BV6&lt;0.5, "Complete", "In Progress"))</f>
        <v>Complete</v>
      </c>
      <c r="BX6" s="22">
        <v>0</v>
      </c>
      <c r="BY6" s="22">
        <f t="shared" si="33"/>
        <v>0</v>
      </c>
      <c r="BZ6" s="23" t="str">
        <f>IF(SUMPRODUCT($J$62:BY$62,$J6:BY6)&lt;0.5, "Pending", IF(BY6&lt;0.5, "Complete", "In Progress"))</f>
        <v>Complete</v>
      </c>
      <c r="CA6" s="22">
        <v>0</v>
      </c>
      <c r="CB6" s="22">
        <f t="shared" si="34"/>
        <v>0</v>
      </c>
      <c r="CC6" s="23" t="str">
        <f>IF(SUMPRODUCT($J$62:CB$62,$J6:CB6)&lt;0.5, "Pending", IF(CB6&lt;0.5, "Complete", "In Progress"))</f>
        <v>Complete</v>
      </c>
      <c r="CD6" s="22">
        <v>0</v>
      </c>
      <c r="CE6" s="22">
        <f t="shared" si="35"/>
        <v>0</v>
      </c>
      <c r="CF6" s="23" t="str">
        <f>IF(SUMPRODUCT($J$62:CE$62,$J6:CE6)&lt;0.5, "Pending", IF(CE6&lt;0.5, "Complete", "In Progress"))</f>
        <v>Complete</v>
      </c>
      <c r="CG6" s="22">
        <v>0</v>
      </c>
      <c r="CH6" s="22">
        <f t="shared" si="36"/>
        <v>0</v>
      </c>
      <c r="CI6" s="23" t="str">
        <f>IF(SUMPRODUCT($J$62:CH$62,$J6:CH6)&lt;0.5, "Pending", IF(CH6&lt;0.5, "Complete", "In Progress"))</f>
        <v>Complete</v>
      </c>
      <c r="CJ6" s="22">
        <v>0</v>
      </c>
      <c r="CK6" s="22">
        <f t="shared" si="37"/>
        <v>0</v>
      </c>
      <c r="CL6" s="23" t="str">
        <f>IF(SUMPRODUCT($J$62:CK$62,$J6:CK6)&lt;0.5, "Pending", IF(CK6&lt;0.5, "Complete", "In Progress"))</f>
        <v>Complete</v>
      </c>
      <c r="CM6" s="22">
        <v>0</v>
      </c>
      <c r="CN6" s="22">
        <f t="shared" si="38"/>
        <v>0</v>
      </c>
      <c r="CO6" s="23" t="str">
        <f>IF(SUMPRODUCT($J$62:CN$62,$J6:CN6)&lt;0.5, "Pending", IF(CN6&lt;0.5, "Complete", "In Progress"))</f>
        <v>Complete</v>
      </c>
      <c r="CP6" s="22">
        <v>0</v>
      </c>
      <c r="CQ6" s="22">
        <f t="shared" si="39"/>
        <v>0</v>
      </c>
      <c r="CR6" s="23" t="str">
        <f>IF(SUMPRODUCT($J$62:CQ$62,$J6:CQ6)&lt;0.5, "Pending", IF(CQ6&lt;0.5, "Complete", "In Progress"))</f>
        <v>Complete</v>
      </c>
      <c r="CS6" s="22">
        <v>0</v>
      </c>
      <c r="CT6" s="22">
        <f t="shared" si="40"/>
        <v>0</v>
      </c>
      <c r="CU6" s="23" t="str">
        <f>IF(SUMPRODUCT($J$62:CT$62,$J6:CT6)&lt;0.5, "Pending", IF(CT6&lt;0.5, "Complete", "In Progress"))</f>
        <v>Complete</v>
      </c>
      <c r="CV6" s="22">
        <v>0</v>
      </c>
      <c r="CW6" s="22">
        <f t="shared" si="1"/>
        <v>0</v>
      </c>
      <c r="CX6" s="23" t="str">
        <f>IF(SUMPRODUCT($J$62:CW$62,$J6:CW6)&lt;0.5, "Pending", IF(CW6&lt;0.5, "Complete", "In Progress"))</f>
        <v>Complete</v>
      </c>
      <c r="CY6" s="22">
        <v>0</v>
      </c>
      <c r="CZ6" s="22">
        <f t="shared" si="2"/>
        <v>0</v>
      </c>
      <c r="DA6" s="23" t="str">
        <f>IF(SUMPRODUCT($J$62:CZ$62,$J6:CZ6)&lt;0.5, "Pending", IF(CZ6&lt;0.5, "Complete", "In Progress"))</f>
        <v>Complete</v>
      </c>
      <c r="DB6" s="22">
        <v>0</v>
      </c>
      <c r="DC6" s="22">
        <f t="shared" si="3"/>
        <v>0</v>
      </c>
      <c r="DD6" s="23" t="str">
        <f>IF(SUMPRODUCT($J$62:DC$62,$J6:DC6)&lt;0.5, "Pending", IF(DC6&lt;0.5, "Complete", "In Progress"))</f>
        <v>Complete</v>
      </c>
      <c r="DE6" s="22">
        <v>0</v>
      </c>
      <c r="DF6" s="22">
        <f t="shared" si="4"/>
        <v>0</v>
      </c>
      <c r="DG6" s="23" t="str">
        <f>IF(SUMPRODUCT($J$62:DF$62,$J6:DF6)&lt;0.5, "Pending", IF(DF6&lt;0.5, "Complete", "In Progress"))</f>
        <v>Complete</v>
      </c>
      <c r="DH6" s="22">
        <v>0</v>
      </c>
      <c r="DI6" s="22">
        <f t="shared" si="5"/>
        <v>0</v>
      </c>
      <c r="DJ6" s="23" t="str">
        <f>IF(SUMPRODUCT($J$62:DI$62,$J6:DI6)&lt;0.5, "Pending", IF(DI6&lt;0.5, "Complete", "In Progress"))</f>
        <v>Complete</v>
      </c>
      <c r="DK6" s="22">
        <v>0</v>
      </c>
      <c r="DL6" s="22">
        <f t="shared" si="6"/>
        <v>0</v>
      </c>
      <c r="DM6" s="23" t="str">
        <f>IF(SUMPRODUCT($J$62:DL$62,$J6:DL6)&lt;0.5, "Pending", IF(DL6&lt;0.5, "Complete", "In Progress"))</f>
        <v>Complete</v>
      </c>
      <c r="DN6" s="22">
        <v>0</v>
      </c>
      <c r="DO6" s="22">
        <f t="shared" si="7"/>
        <v>0</v>
      </c>
      <c r="DP6" s="23" t="str">
        <f>IF(SUMPRODUCT($J$62:DO$62,$J6:DO6)&lt;0.5, "Pending", IF(DO6&lt;0.5, "Complete", "In Progress"))</f>
        <v>Complete</v>
      </c>
      <c r="DQ6" s="22">
        <v>0</v>
      </c>
      <c r="DR6" s="22">
        <f t="shared" si="8"/>
        <v>0</v>
      </c>
      <c r="DS6" s="23" t="str">
        <f>IF(SUMPRODUCT($J$62:DR$62,$J6:DR6)&lt;0.5, "Pending", IF(DR6&lt;0.5, "Complete", "In Progress"))</f>
        <v>Complete</v>
      </c>
      <c r="DT6" s="22">
        <v>0</v>
      </c>
      <c r="DU6" s="22">
        <f t="shared" si="9"/>
        <v>0</v>
      </c>
      <c r="DV6" s="23" t="str">
        <f>IF(SUMPRODUCT($J$62:DU$62,$J6:DU6)&lt;0.5, "Pending", IF(DU6&lt;0.5, "Complete", "In Progress"))</f>
        <v>Complete</v>
      </c>
      <c r="DW6" s="22">
        <v>0</v>
      </c>
      <c r="DX6" s="22">
        <f t="shared" si="10"/>
        <v>0</v>
      </c>
      <c r="DY6" s="23" t="str">
        <f>IF(SUMPRODUCT($J$62:DX$62,$J6:DX6)&lt;0.5, "Pending", IF(DX6&lt;0.5, "Complete", "In Progress"))</f>
        <v>Complete</v>
      </c>
      <c r="DZ6" s="24"/>
      <c r="EA6" s="25">
        <f>SUMPRODUCT($H$62:DG$62,$H6:DG6)</f>
        <v>2</v>
      </c>
    </row>
    <row r="7" spans="1:131" x14ac:dyDescent="0.25">
      <c r="A7" s="16" t="s">
        <v>119</v>
      </c>
      <c r="B7" s="16" t="s">
        <v>127</v>
      </c>
      <c r="C7" s="16" t="s">
        <v>121</v>
      </c>
      <c r="D7" s="17">
        <v>2</v>
      </c>
      <c r="E7" s="199" t="s">
        <v>128</v>
      </c>
      <c r="F7" s="18" t="s">
        <v>129</v>
      </c>
      <c r="G7" s="19" t="str">
        <f t="shared" ca="1" si="0"/>
        <v>Complete</v>
      </c>
      <c r="H7" s="20">
        <v>1</v>
      </c>
      <c r="I7" s="21">
        <v>4</v>
      </c>
      <c r="J7" s="22">
        <v>4</v>
      </c>
      <c r="K7" s="22">
        <f t="shared" si="11"/>
        <v>0</v>
      </c>
      <c r="L7" s="23" t="str">
        <f>IF(SUMPRODUCT($J$62:K$62,$J7:K7)&lt;0.5, "Pending", IF(K7&lt;0.5, "Complete", "In Progress"))</f>
        <v>Complete</v>
      </c>
      <c r="M7" s="22">
        <v>0</v>
      </c>
      <c r="N7" s="22">
        <f t="shared" si="12"/>
        <v>0</v>
      </c>
      <c r="O7" s="23" t="str">
        <f>IF(SUMPRODUCT($J$62:N$62,$J7:N7)&lt;0.5, "Pending", IF(N7&lt;0.5, "Complete", "In Progress"))</f>
        <v>Complete</v>
      </c>
      <c r="P7" s="22">
        <v>0</v>
      </c>
      <c r="Q7" s="22">
        <f t="shared" si="13"/>
        <v>0</v>
      </c>
      <c r="R7" s="23" t="str">
        <f>IF(SUMPRODUCT($J$62:Q$62,$J7:Q7)&lt;0.5, "Pending", IF(Q7&lt;0.5, "Complete", "In Progress"))</f>
        <v>Complete</v>
      </c>
      <c r="S7" s="22">
        <v>0</v>
      </c>
      <c r="T7" s="22">
        <f t="shared" si="14"/>
        <v>0</v>
      </c>
      <c r="U7" s="23" t="str">
        <f>IF(SUMPRODUCT($J$62:T$62,$J7:T7)&lt;0.5, "Pending", IF(T7&lt;0.5, "Complete", "In Progress"))</f>
        <v>Complete</v>
      </c>
      <c r="V7" s="22">
        <v>0</v>
      </c>
      <c r="W7" s="22">
        <f t="shared" si="15"/>
        <v>0</v>
      </c>
      <c r="X7" s="23" t="str">
        <f>IF(SUMPRODUCT($J$62:W$62,$J7:W7)&lt;0.5, "Pending", IF(W7&lt;0.5, "Complete", "In Progress"))</f>
        <v>Complete</v>
      </c>
      <c r="Y7" s="22">
        <v>0</v>
      </c>
      <c r="Z7" s="22">
        <f t="shared" si="16"/>
        <v>0</v>
      </c>
      <c r="AA7" s="23" t="str">
        <f>IF(SUMPRODUCT($J$62:Z$62,$J7:Z7)&lt;0.5, "Pending", IF(Z7&lt;0.5, "Complete", "In Progress"))</f>
        <v>Complete</v>
      </c>
      <c r="AB7" s="22">
        <v>0</v>
      </c>
      <c r="AC7" s="22">
        <f t="shared" si="17"/>
        <v>0</v>
      </c>
      <c r="AD7" s="23" t="str">
        <f>IF(SUMPRODUCT($J$62:AC$62,$J7:AC7)&lt;0.5, "Pending", IF(AC7&lt;0.5, "Complete", "In Progress"))</f>
        <v>Complete</v>
      </c>
      <c r="AE7" s="22">
        <v>0</v>
      </c>
      <c r="AF7" s="22">
        <f t="shared" si="18"/>
        <v>0</v>
      </c>
      <c r="AG7" s="23" t="str">
        <f>IF(SUMPRODUCT($J$62:AF$62,$J7:AF7)&lt;0.5, "Pending", IF(AF7&lt;0.5, "Complete", "In Progress"))</f>
        <v>Complete</v>
      </c>
      <c r="AH7" s="22">
        <v>0</v>
      </c>
      <c r="AI7" s="22">
        <f t="shared" si="19"/>
        <v>0</v>
      </c>
      <c r="AJ7" s="23" t="str">
        <f>IF(SUMPRODUCT($J$62:AI$62,$J7:AI7)&lt;0.5, "Pending", IF(AI7&lt;0.5, "Complete", "In Progress"))</f>
        <v>Complete</v>
      </c>
      <c r="AK7" s="22">
        <v>0</v>
      </c>
      <c r="AL7" s="22">
        <f t="shared" si="20"/>
        <v>0</v>
      </c>
      <c r="AM7" s="23" t="str">
        <f>IF(SUMPRODUCT($J$62:AL$62,$J7:AL7)&lt;0.5, "Pending", IF(AL7&lt;0.5, "Complete", "In Progress"))</f>
        <v>Complete</v>
      </c>
      <c r="AN7" s="22">
        <v>0</v>
      </c>
      <c r="AO7" s="22">
        <f t="shared" si="21"/>
        <v>0</v>
      </c>
      <c r="AP7" s="23" t="str">
        <f>IF(SUMPRODUCT($J$62:AO$62,$J7:AO7)&lt;0.5, "Pending", IF(AO7&lt;0.5, "Complete", "In Progress"))</f>
        <v>Complete</v>
      </c>
      <c r="AQ7" s="22">
        <v>0</v>
      </c>
      <c r="AR7" s="22">
        <f t="shared" si="22"/>
        <v>0</v>
      </c>
      <c r="AS7" s="23" t="str">
        <f>IF(SUMPRODUCT($J$62:AR$62,$J7:AR7)&lt;0.5, "Pending", IF(AR7&lt;0.5, "Complete", "In Progress"))</f>
        <v>Complete</v>
      </c>
      <c r="AT7" s="22">
        <v>0</v>
      </c>
      <c r="AU7" s="22">
        <f t="shared" si="23"/>
        <v>0</v>
      </c>
      <c r="AV7" s="23" t="str">
        <f>IF(SUMPRODUCT($J$62:AU$62,$J7:AU7)&lt;0.5, "Pending", IF(AU7&lt;0.5, "Complete", "In Progress"))</f>
        <v>Complete</v>
      </c>
      <c r="AW7" s="22">
        <v>0</v>
      </c>
      <c r="AX7" s="22">
        <f t="shared" si="24"/>
        <v>0</v>
      </c>
      <c r="AY7" s="23" t="str">
        <f>IF(SUMPRODUCT($J$62:AX$62,$J7:AX7)&lt;0.5, "Pending", IF(AX7&lt;0.5, "Complete", "In Progress"))</f>
        <v>Complete</v>
      </c>
      <c r="AZ7" s="22">
        <v>0</v>
      </c>
      <c r="BA7" s="22">
        <f t="shared" si="25"/>
        <v>0</v>
      </c>
      <c r="BB7" s="23" t="str">
        <f>IF(SUMPRODUCT($J$62:BA$62,$J7:BA7)&lt;0.5, "Pending", IF(BA7&lt;0.5, "Complete", "In Progress"))</f>
        <v>Complete</v>
      </c>
      <c r="BC7" s="22">
        <v>0</v>
      </c>
      <c r="BD7" s="22">
        <f t="shared" si="26"/>
        <v>0</v>
      </c>
      <c r="BE7" s="23" t="str">
        <f>IF(SUMPRODUCT($J$62:BD$62,$J7:BD7)&lt;0.5, "Pending", IF(BD7&lt;0.5, "Complete", "In Progress"))</f>
        <v>Complete</v>
      </c>
      <c r="BF7" s="22">
        <v>0</v>
      </c>
      <c r="BG7" s="22">
        <f t="shared" si="27"/>
        <v>0</v>
      </c>
      <c r="BH7" s="23" t="str">
        <f>IF(SUMPRODUCT($J$62:BG$62,$J7:BG7)&lt;0.5, "Pending", IF(BG7&lt;0.5, "Complete", "In Progress"))</f>
        <v>Complete</v>
      </c>
      <c r="BI7" s="22">
        <v>0</v>
      </c>
      <c r="BJ7" s="22">
        <f t="shared" si="28"/>
        <v>0</v>
      </c>
      <c r="BK7" s="23" t="str">
        <f>IF(SUMPRODUCT($J$62:BJ$62,$J7:BJ7)&lt;0.5, "Pending", IF(BJ7&lt;0.5, "Complete", "In Progress"))</f>
        <v>Complete</v>
      </c>
      <c r="BL7" s="22">
        <v>0</v>
      </c>
      <c r="BM7" s="22">
        <f t="shared" si="29"/>
        <v>0</v>
      </c>
      <c r="BN7" s="23" t="str">
        <f>IF(SUMPRODUCT($J$62:BM$62,$J7:BM7)&lt;0.5, "Pending", IF(BM7&lt;0.5, "Complete", "In Progress"))</f>
        <v>Complete</v>
      </c>
      <c r="BO7" s="22">
        <v>0</v>
      </c>
      <c r="BP7" s="22">
        <f t="shared" si="30"/>
        <v>0</v>
      </c>
      <c r="BQ7" s="23" t="str">
        <f>IF(SUMPRODUCT($J$62:BP$62,$J7:BP7)&lt;0.5, "Pending", IF(BP7&lt;0.5, "Complete", "In Progress"))</f>
        <v>Complete</v>
      </c>
      <c r="BR7" s="22">
        <v>0</v>
      </c>
      <c r="BS7" s="22">
        <f t="shared" si="31"/>
        <v>0</v>
      </c>
      <c r="BT7" s="23" t="str">
        <f>IF(SUMPRODUCT($J$62:BS$62,$J7:BS7)&lt;0.5, "Pending", IF(BS7&lt;0.5, "Complete", "In Progress"))</f>
        <v>Complete</v>
      </c>
      <c r="BU7" s="22">
        <v>0</v>
      </c>
      <c r="BV7" s="22">
        <f t="shared" si="32"/>
        <v>0</v>
      </c>
      <c r="BW7" s="23" t="str">
        <f>IF(SUMPRODUCT($J$62:BV$62,$J7:BV7)&lt;0.5, "Pending", IF(BV7&lt;0.5, "Complete", "In Progress"))</f>
        <v>Complete</v>
      </c>
      <c r="BX7" s="22">
        <v>0</v>
      </c>
      <c r="BY7" s="22">
        <f t="shared" si="33"/>
        <v>0</v>
      </c>
      <c r="BZ7" s="23" t="str">
        <f>IF(SUMPRODUCT($J$62:BY$62,$J7:BY7)&lt;0.5, "Pending", IF(BY7&lt;0.5, "Complete", "In Progress"))</f>
        <v>Complete</v>
      </c>
      <c r="CA7" s="22">
        <v>0</v>
      </c>
      <c r="CB7" s="22">
        <f t="shared" si="34"/>
        <v>0</v>
      </c>
      <c r="CC7" s="23" t="str">
        <f>IF(SUMPRODUCT($J$62:CB$62,$J7:CB7)&lt;0.5, "Pending", IF(CB7&lt;0.5, "Complete", "In Progress"))</f>
        <v>Complete</v>
      </c>
      <c r="CD7" s="22">
        <v>0</v>
      </c>
      <c r="CE7" s="22">
        <f t="shared" si="35"/>
        <v>0</v>
      </c>
      <c r="CF7" s="23" t="str">
        <f>IF(SUMPRODUCT($J$62:CE$62,$J7:CE7)&lt;0.5, "Pending", IF(CE7&lt;0.5, "Complete", "In Progress"))</f>
        <v>Complete</v>
      </c>
      <c r="CG7" s="22">
        <v>0</v>
      </c>
      <c r="CH7" s="22">
        <f t="shared" si="36"/>
        <v>0</v>
      </c>
      <c r="CI7" s="23" t="str">
        <f>IF(SUMPRODUCT($J$62:CH$62,$J7:CH7)&lt;0.5, "Pending", IF(CH7&lt;0.5, "Complete", "In Progress"))</f>
        <v>Complete</v>
      </c>
      <c r="CJ7" s="22">
        <v>0</v>
      </c>
      <c r="CK7" s="22">
        <f t="shared" si="37"/>
        <v>0</v>
      </c>
      <c r="CL7" s="23" t="str">
        <f>IF(SUMPRODUCT($J$62:CK$62,$J7:CK7)&lt;0.5, "Pending", IF(CK7&lt;0.5, "Complete", "In Progress"))</f>
        <v>Complete</v>
      </c>
      <c r="CM7" s="22">
        <v>0</v>
      </c>
      <c r="CN7" s="22">
        <f t="shared" si="38"/>
        <v>0</v>
      </c>
      <c r="CO7" s="23" t="str">
        <f>IF(SUMPRODUCT($J$62:CN$62,$J7:CN7)&lt;0.5, "Pending", IF(CN7&lt;0.5, "Complete", "In Progress"))</f>
        <v>Complete</v>
      </c>
      <c r="CP7" s="22">
        <v>0</v>
      </c>
      <c r="CQ7" s="22">
        <f t="shared" si="39"/>
        <v>0</v>
      </c>
      <c r="CR7" s="23" t="str">
        <f>IF(SUMPRODUCT($J$62:CQ$62,$J7:CQ7)&lt;0.5, "Pending", IF(CQ7&lt;0.5, "Complete", "In Progress"))</f>
        <v>Complete</v>
      </c>
      <c r="CS7" s="22">
        <v>0</v>
      </c>
      <c r="CT7" s="22">
        <f t="shared" si="40"/>
        <v>0</v>
      </c>
      <c r="CU7" s="23" t="str">
        <f>IF(SUMPRODUCT($J$62:CT$62,$J7:CT7)&lt;0.5, "Pending", IF(CT7&lt;0.5, "Complete", "In Progress"))</f>
        <v>Complete</v>
      </c>
      <c r="CV7" s="22">
        <v>0</v>
      </c>
      <c r="CW7" s="22">
        <f t="shared" si="1"/>
        <v>0</v>
      </c>
      <c r="CX7" s="23" t="str">
        <f>IF(SUMPRODUCT($J$62:CW$62,$J7:CW7)&lt;0.5, "Pending", IF(CW7&lt;0.5, "Complete", "In Progress"))</f>
        <v>Complete</v>
      </c>
      <c r="CY7" s="22">
        <v>0</v>
      </c>
      <c r="CZ7" s="22">
        <f t="shared" si="2"/>
        <v>0</v>
      </c>
      <c r="DA7" s="23" t="str">
        <f>IF(SUMPRODUCT($J$62:CZ$62,$J7:CZ7)&lt;0.5, "Pending", IF(CZ7&lt;0.5, "Complete", "In Progress"))</f>
        <v>Complete</v>
      </c>
      <c r="DB7" s="22">
        <v>0</v>
      </c>
      <c r="DC7" s="22">
        <f t="shared" si="3"/>
        <v>0</v>
      </c>
      <c r="DD7" s="23" t="str">
        <f>IF(SUMPRODUCT($J$62:DC$62,$J7:DC7)&lt;0.5, "Pending", IF(DC7&lt;0.5, "Complete", "In Progress"))</f>
        <v>Complete</v>
      </c>
      <c r="DE7" s="22">
        <v>0</v>
      </c>
      <c r="DF7" s="22">
        <f t="shared" si="4"/>
        <v>0</v>
      </c>
      <c r="DG7" s="23" t="str">
        <f>IF(SUMPRODUCT($J$62:DF$62,$J7:DF7)&lt;0.5, "Pending", IF(DF7&lt;0.5, "Complete", "In Progress"))</f>
        <v>Complete</v>
      </c>
      <c r="DH7" s="22">
        <v>0</v>
      </c>
      <c r="DI7" s="22">
        <f t="shared" si="5"/>
        <v>0</v>
      </c>
      <c r="DJ7" s="23" t="str">
        <f>IF(SUMPRODUCT($J$62:DI$62,$J7:DI7)&lt;0.5, "Pending", IF(DI7&lt;0.5, "Complete", "In Progress"))</f>
        <v>Complete</v>
      </c>
      <c r="DK7" s="22">
        <v>0</v>
      </c>
      <c r="DL7" s="22">
        <f t="shared" si="6"/>
        <v>0</v>
      </c>
      <c r="DM7" s="23" t="str">
        <f>IF(SUMPRODUCT($J$62:DL$62,$J7:DL7)&lt;0.5, "Pending", IF(DL7&lt;0.5, "Complete", "In Progress"))</f>
        <v>Complete</v>
      </c>
      <c r="DN7" s="22">
        <v>0</v>
      </c>
      <c r="DO7" s="22">
        <f t="shared" si="7"/>
        <v>0</v>
      </c>
      <c r="DP7" s="23" t="str">
        <f>IF(SUMPRODUCT($J$62:DO$62,$J7:DO7)&lt;0.5, "Pending", IF(DO7&lt;0.5, "Complete", "In Progress"))</f>
        <v>Complete</v>
      </c>
      <c r="DQ7" s="22">
        <v>0</v>
      </c>
      <c r="DR7" s="22">
        <f t="shared" si="8"/>
        <v>0</v>
      </c>
      <c r="DS7" s="23" t="str">
        <f>IF(SUMPRODUCT($J$62:DR$62,$J7:DR7)&lt;0.5, "Pending", IF(DR7&lt;0.5, "Complete", "In Progress"))</f>
        <v>Complete</v>
      </c>
      <c r="DT7" s="22">
        <v>0</v>
      </c>
      <c r="DU7" s="22">
        <f t="shared" si="9"/>
        <v>0</v>
      </c>
      <c r="DV7" s="23" t="str">
        <f>IF(SUMPRODUCT($J$62:DU$62,$J7:DU7)&lt;0.5, "Pending", IF(DU7&lt;0.5, "Complete", "In Progress"))</f>
        <v>Complete</v>
      </c>
      <c r="DW7" s="22">
        <v>0</v>
      </c>
      <c r="DX7" s="22">
        <f t="shared" si="10"/>
        <v>0</v>
      </c>
      <c r="DY7" s="23" t="str">
        <f>IF(SUMPRODUCT($J$62:DX$62,$J7:DX7)&lt;0.5, "Pending", IF(DX7&lt;0.5, "Complete", "In Progress"))</f>
        <v>Complete</v>
      </c>
      <c r="DZ7" s="24"/>
      <c r="EA7" s="25">
        <f>SUMPRODUCT($H$62:DG$62,$H7:DG7)</f>
        <v>4</v>
      </c>
    </row>
    <row r="8" spans="1:131" x14ac:dyDescent="0.25">
      <c r="A8" s="16" t="s">
        <v>119</v>
      </c>
      <c r="B8" s="16" t="s">
        <v>127</v>
      </c>
      <c r="C8" s="16" t="s">
        <v>121</v>
      </c>
      <c r="D8" s="17">
        <v>2</v>
      </c>
      <c r="E8" s="199" t="s">
        <v>130</v>
      </c>
      <c r="F8" s="18" t="s">
        <v>129</v>
      </c>
      <c r="G8" s="19" t="str">
        <f t="shared" ca="1" si="0"/>
        <v>Complete</v>
      </c>
      <c r="H8" s="20">
        <v>1</v>
      </c>
      <c r="I8" s="21">
        <v>4</v>
      </c>
      <c r="J8" s="22">
        <v>4</v>
      </c>
      <c r="K8" s="22">
        <f t="shared" si="11"/>
        <v>0</v>
      </c>
      <c r="L8" s="23" t="str">
        <f>IF(SUMPRODUCT($J$62:K$62,$J8:K8)&lt;0.5, "Pending", IF(K8&lt;0.5, "Complete", "In Progress"))</f>
        <v>Complete</v>
      </c>
      <c r="M8" s="22">
        <v>0</v>
      </c>
      <c r="N8" s="22">
        <f t="shared" si="12"/>
        <v>0</v>
      </c>
      <c r="O8" s="23" t="str">
        <f>IF(SUMPRODUCT($J$62:N$62,$J8:N8)&lt;0.5, "Pending", IF(N8&lt;0.5, "Complete", "In Progress"))</f>
        <v>Complete</v>
      </c>
      <c r="P8" s="22">
        <v>0</v>
      </c>
      <c r="Q8" s="22">
        <f t="shared" si="13"/>
        <v>0</v>
      </c>
      <c r="R8" s="23" t="str">
        <f>IF(SUMPRODUCT($J$62:Q$62,$J8:Q8)&lt;0.5, "Pending", IF(Q8&lt;0.5, "Complete", "In Progress"))</f>
        <v>Complete</v>
      </c>
      <c r="S8" s="22">
        <v>0</v>
      </c>
      <c r="T8" s="22">
        <f t="shared" si="14"/>
        <v>0</v>
      </c>
      <c r="U8" s="23" t="str">
        <f>IF(SUMPRODUCT($J$62:T$62,$J8:T8)&lt;0.5, "Pending", IF(T8&lt;0.5, "Complete", "In Progress"))</f>
        <v>Complete</v>
      </c>
      <c r="V8" s="22">
        <v>0</v>
      </c>
      <c r="W8" s="22">
        <f t="shared" si="15"/>
        <v>0</v>
      </c>
      <c r="X8" s="23" t="str">
        <f>IF(SUMPRODUCT($J$62:W$62,$J8:W8)&lt;0.5, "Pending", IF(W8&lt;0.5, "Complete", "In Progress"))</f>
        <v>Complete</v>
      </c>
      <c r="Y8" s="22">
        <v>0</v>
      </c>
      <c r="Z8" s="22">
        <f t="shared" si="16"/>
        <v>0</v>
      </c>
      <c r="AA8" s="23" t="str">
        <f>IF(SUMPRODUCT($J$62:Z$62,$J8:Z8)&lt;0.5, "Pending", IF(Z8&lt;0.5, "Complete", "In Progress"))</f>
        <v>Complete</v>
      </c>
      <c r="AB8" s="22">
        <v>0</v>
      </c>
      <c r="AC8" s="22">
        <f t="shared" si="17"/>
        <v>0</v>
      </c>
      <c r="AD8" s="23" t="str">
        <f>IF(SUMPRODUCT($J$62:AC$62,$J8:AC8)&lt;0.5, "Pending", IF(AC8&lt;0.5, "Complete", "In Progress"))</f>
        <v>Complete</v>
      </c>
      <c r="AE8" s="22">
        <v>0</v>
      </c>
      <c r="AF8" s="22">
        <f t="shared" si="18"/>
        <v>0</v>
      </c>
      <c r="AG8" s="23" t="str">
        <f>IF(SUMPRODUCT($J$62:AF$62,$J8:AF8)&lt;0.5, "Pending", IF(AF8&lt;0.5, "Complete", "In Progress"))</f>
        <v>Complete</v>
      </c>
      <c r="AH8" s="22">
        <v>0</v>
      </c>
      <c r="AI8" s="22">
        <f t="shared" si="19"/>
        <v>0</v>
      </c>
      <c r="AJ8" s="23" t="str">
        <f>IF(SUMPRODUCT($J$62:AI$62,$J8:AI8)&lt;0.5, "Pending", IF(AI8&lt;0.5, "Complete", "In Progress"))</f>
        <v>Complete</v>
      </c>
      <c r="AK8" s="22">
        <v>0</v>
      </c>
      <c r="AL8" s="22">
        <f t="shared" si="20"/>
        <v>0</v>
      </c>
      <c r="AM8" s="23" t="str">
        <f>IF(SUMPRODUCT($J$62:AL$62,$J8:AL8)&lt;0.5, "Pending", IF(AL8&lt;0.5, "Complete", "In Progress"))</f>
        <v>Complete</v>
      </c>
      <c r="AN8" s="22">
        <v>0</v>
      </c>
      <c r="AO8" s="22">
        <f t="shared" si="21"/>
        <v>0</v>
      </c>
      <c r="AP8" s="23" t="str">
        <f>IF(SUMPRODUCT($J$62:AO$62,$J8:AO8)&lt;0.5, "Pending", IF(AO8&lt;0.5, "Complete", "In Progress"))</f>
        <v>Complete</v>
      </c>
      <c r="AQ8" s="22">
        <v>0</v>
      </c>
      <c r="AR8" s="22">
        <f t="shared" si="22"/>
        <v>0</v>
      </c>
      <c r="AS8" s="23" t="str">
        <f>IF(SUMPRODUCT($J$62:AR$62,$J8:AR8)&lt;0.5, "Pending", IF(AR8&lt;0.5, "Complete", "In Progress"))</f>
        <v>Complete</v>
      </c>
      <c r="AT8" s="22">
        <v>0</v>
      </c>
      <c r="AU8" s="22">
        <f t="shared" si="23"/>
        <v>0</v>
      </c>
      <c r="AV8" s="23" t="str">
        <f>IF(SUMPRODUCT($J$62:AU$62,$J8:AU8)&lt;0.5, "Pending", IF(AU8&lt;0.5, "Complete", "In Progress"))</f>
        <v>Complete</v>
      </c>
      <c r="AW8" s="22">
        <v>0</v>
      </c>
      <c r="AX8" s="22">
        <f t="shared" si="24"/>
        <v>0</v>
      </c>
      <c r="AY8" s="23" t="str">
        <f>IF(SUMPRODUCT($J$62:AX$62,$J8:AX8)&lt;0.5, "Pending", IF(AX8&lt;0.5, "Complete", "In Progress"))</f>
        <v>Complete</v>
      </c>
      <c r="AZ8" s="22">
        <v>0</v>
      </c>
      <c r="BA8" s="22">
        <f t="shared" si="25"/>
        <v>0</v>
      </c>
      <c r="BB8" s="23" t="str">
        <f>IF(SUMPRODUCT($J$62:BA$62,$J8:BA8)&lt;0.5, "Pending", IF(BA8&lt;0.5, "Complete", "In Progress"))</f>
        <v>Complete</v>
      </c>
      <c r="BC8" s="22">
        <v>0</v>
      </c>
      <c r="BD8" s="22">
        <f t="shared" si="26"/>
        <v>0</v>
      </c>
      <c r="BE8" s="23" t="str">
        <f>IF(SUMPRODUCT($J$62:BD$62,$J8:BD8)&lt;0.5, "Pending", IF(BD8&lt;0.5, "Complete", "In Progress"))</f>
        <v>Complete</v>
      </c>
      <c r="BF8" s="22">
        <v>0</v>
      </c>
      <c r="BG8" s="22">
        <f t="shared" si="27"/>
        <v>0</v>
      </c>
      <c r="BH8" s="23" t="str">
        <f>IF(SUMPRODUCT($J$62:BG$62,$J8:BG8)&lt;0.5, "Pending", IF(BG8&lt;0.5, "Complete", "In Progress"))</f>
        <v>Complete</v>
      </c>
      <c r="BI8" s="22">
        <v>0</v>
      </c>
      <c r="BJ8" s="22">
        <f t="shared" si="28"/>
        <v>0</v>
      </c>
      <c r="BK8" s="23" t="str">
        <f>IF(SUMPRODUCT($J$62:BJ$62,$J8:BJ8)&lt;0.5, "Pending", IF(BJ8&lt;0.5, "Complete", "In Progress"))</f>
        <v>Complete</v>
      </c>
      <c r="BL8" s="22">
        <v>0</v>
      </c>
      <c r="BM8" s="22">
        <f t="shared" si="29"/>
        <v>0</v>
      </c>
      <c r="BN8" s="23" t="str">
        <f>IF(SUMPRODUCT($J$62:BM$62,$J8:BM8)&lt;0.5, "Pending", IF(BM8&lt;0.5, "Complete", "In Progress"))</f>
        <v>Complete</v>
      </c>
      <c r="BO8" s="22">
        <v>0</v>
      </c>
      <c r="BP8" s="22">
        <f t="shared" si="30"/>
        <v>0</v>
      </c>
      <c r="BQ8" s="23" t="str">
        <f>IF(SUMPRODUCT($J$62:BP$62,$J8:BP8)&lt;0.5, "Pending", IF(BP8&lt;0.5, "Complete", "In Progress"))</f>
        <v>Complete</v>
      </c>
      <c r="BR8" s="22">
        <v>0</v>
      </c>
      <c r="BS8" s="22">
        <f t="shared" si="31"/>
        <v>0</v>
      </c>
      <c r="BT8" s="23" t="str">
        <f>IF(SUMPRODUCT($J$62:BS$62,$J8:BS8)&lt;0.5, "Pending", IF(BS8&lt;0.5, "Complete", "In Progress"))</f>
        <v>Complete</v>
      </c>
      <c r="BU8" s="22">
        <v>0</v>
      </c>
      <c r="BV8" s="22">
        <f t="shared" si="32"/>
        <v>0</v>
      </c>
      <c r="BW8" s="23" t="str">
        <f>IF(SUMPRODUCT($J$62:BV$62,$J8:BV8)&lt;0.5, "Pending", IF(BV8&lt;0.5, "Complete", "In Progress"))</f>
        <v>Complete</v>
      </c>
      <c r="BX8" s="22">
        <v>0</v>
      </c>
      <c r="BY8" s="22">
        <f t="shared" si="33"/>
        <v>0</v>
      </c>
      <c r="BZ8" s="23" t="str">
        <f>IF(SUMPRODUCT($J$62:BY$62,$J8:BY8)&lt;0.5, "Pending", IF(BY8&lt;0.5, "Complete", "In Progress"))</f>
        <v>Complete</v>
      </c>
      <c r="CA8" s="22">
        <v>0</v>
      </c>
      <c r="CB8" s="22">
        <f t="shared" si="34"/>
        <v>0</v>
      </c>
      <c r="CC8" s="23" t="str">
        <f>IF(SUMPRODUCT($J$62:CB$62,$J8:CB8)&lt;0.5, "Pending", IF(CB8&lt;0.5, "Complete", "In Progress"))</f>
        <v>Complete</v>
      </c>
      <c r="CD8" s="22">
        <v>0</v>
      </c>
      <c r="CE8" s="22">
        <f t="shared" si="35"/>
        <v>0</v>
      </c>
      <c r="CF8" s="23" t="str">
        <f>IF(SUMPRODUCT($J$62:CE$62,$J8:CE8)&lt;0.5, "Pending", IF(CE8&lt;0.5, "Complete", "In Progress"))</f>
        <v>Complete</v>
      </c>
      <c r="CG8" s="22">
        <v>0</v>
      </c>
      <c r="CH8" s="22">
        <f t="shared" si="36"/>
        <v>0</v>
      </c>
      <c r="CI8" s="23" t="str">
        <f>IF(SUMPRODUCT($J$62:CH$62,$J8:CH8)&lt;0.5, "Pending", IF(CH8&lt;0.5, "Complete", "In Progress"))</f>
        <v>Complete</v>
      </c>
      <c r="CJ8" s="22">
        <v>0</v>
      </c>
      <c r="CK8" s="22">
        <f t="shared" si="37"/>
        <v>0</v>
      </c>
      <c r="CL8" s="23" t="str">
        <f>IF(SUMPRODUCT($J$62:CK$62,$J8:CK8)&lt;0.5, "Pending", IF(CK8&lt;0.5, "Complete", "In Progress"))</f>
        <v>Complete</v>
      </c>
      <c r="CM8" s="22">
        <v>0</v>
      </c>
      <c r="CN8" s="22">
        <f t="shared" si="38"/>
        <v>0</v>
      </c>
      <c r="CO8" s="23" t="str">
        <f>IF(SUMPRODUCT($J$62:CN$62,$J8:CN8)&lt;0.5, "Pending", IF(CN8&lt;0.5, "Complete", "In Progress"))</f>
        <v>Complete</v>
      </c>
      <c r="CP8" s="22">
        <v>0</v>
      </c>
      <c r="CQ8" s="22">
        <f t="shared" si="39"/>
        <v>0</v>
      </c>
      <c r="CR8" s="23" t="str">
        <f>IF(SUMPRODUCT($J$62:CQ$62,$J8:CQ8)&lt;0.5, "Pending", IF(CQ8&lt;0.5, "Complete", "In Progress"))</f>
        <v>Complete</v>
      </c>
      <c r="CS8" s="22">
        <v>0</v>
      </c>
      <c r="CT8" s="22">
        <f t="shared" si="40"/>
        <v>0</v>
      </c>
      <c r="CU8" s="23" t="str">
        <f>IF(SUMPRODUCT($J$62:CT$62,$J8:CT8)&lt;0.5, "Pending", IF(CT8&lt;0.5, "Complete", "In Progress"))</f>
        <v>Complete</v>
      </c>
      <c r="CV8" s="22">
        <v>0</v>
      </c>
      <c r="CW8" s="22">
        <f t="shared" si="1"/>
        <v>0</v>
      </c>
      <c r="CX8" s="23" t="str">
        <f>IF(SUMPRODUCT($J$62:CW$62,$J8:CW8)&lt;0.5, "Pending", IF(CW8&lt;0.5, "Complete", "In Progress"))</f>
        <v>Complete</v>
      </c>
      <c r="CY8" s="22">
        <v>0</v>
      </c>
      <c r="CZ8" s="22">
        <f t="shared" si="2"/>
        <v>0</v>
      </c>
      <c r="DA8" s="23" t="str">
        <f>IF(SUMPRODUCT($J$62:CZ$62,$J8:CZ8)&lt;0.5, "Pending", IF(CZ8&lt;0.5, "Complete", "In Progress"))</f>
        <v>Complete</v>
      </c>
      <c r="DB8" s="22">
        <v>0</v>
      </c>
      <c r="DC8" s="22">
        <f t="shared" si="3"/>
        <v>0</v>
      </c>
      <c r="DD8" s="23" t="str">
        <f>IF(SUMPRODUCT($J$62:DC$62,$J8:DC8)&lt;0.5, "Pending", IF(DC8&lt;0.5, "Complete", "In Progress"))</f>
        <v>Complete</v>
      </c>
      <c r="DE8" s="22">
        <v>0</v>
      </c>
      <c r="DF8" s="22">
        <f t="shared" si="4"/>
        <v>0</v>
      </c>
      <c r="DG8" s="23" t="str">
        <f>IF(SUMPRODUCT($J$62:DF$62,$J8:DF8)&lt;0.5, "Pending", IF(DF8&lt;0.5, "Complete", "In Progress"))</f>
        <v>Complete</v>
      </c>
      <c r="DH8" s="22">
        <v>0</v>
      </c>
      <c r="DI8" s="22">
        <f t="shared" si="5"/>
        <v>0</v>
      </c>
      <c r="DJ8" s="23" t="str">
        <f>IF(SUMPRODUCT($J$62:DI$62,$J8:DI8)&lt;0.5, "Pending", IF(DI8&lt;0.5, "Complete", "In Progress"))</f>
        <v>Complete</v>
      </c>
      <c r="DK8" s="22">
        <v>0</v>
      </c>
      <c r="DL8" s="22">
        <f t="shared" si="6"/>
        <v>0</v>
      </c>
      <c r="DM8" s="23" t="str">
        <f>IF(SUMPRODUCT($J$62:DL$62,$J8:DL8)&lt;0.5, "Pending", IF(DL8&lt;0.5, "Complete", "In Progress"))</f>
        <v>Complete</v>
      </c>
      <c r="DN8" s="22">
        <v>0</v>
      </c>
      <c r="DO8" s="22">
        <f t="shared" si="7"/>
        <v>0</v>
      </c>
      <c r="DP8" s="23" t="str">
        <f>IF(SUMPRODUCT($J$62:DO$62,$J8:DO8)&lt;0.5, "Pending", IF(DO8&lt;0.5, "Complete", "In Progress"))</f>
        <v>Complete</v>
      </c>
      <c r="DQ8" s="22">
        <v>0</v>
      </c>
      <c r="DR8" s="22">
        <f t="shared" si="8"/>
        <v>0</v>
      </c>
      <c r="DS8" s="23" t="str">
        <f>IF(SUMPRODUCT($J$62:DR$62,$J8:DR8)&lt;0.5, "Pending", IF(DR8&lt;0.5, "Complete", "In Progress"))</f>
        <v>Complete</v>
      </c>
      <c r="DT8" s="22">
        <v>0</v>
      </c>
      <c r="DU8" s="22">
        <f t="shared" si="9"/>
        <v>0</v>
      </c>
      <c r="DV8" s="23" t="str">
        <f>IF(SUMPRODUCT($J$62:DU$62,$J8:DU8)&lt;0.5, "Pending", IF(DU8&lt;0.5, "Complete", "In Progress"))</f>
        <v>Complete</v>
      </c>
      <c r="DW8" s="22">
        <v>0</v>
      </c>
      <c r="DX8" s="22">
        <f t="shared" si="10"/>
        <v>0</v>
      </c>
      <c r="DY8" s="23" t="str">
        <f>IF(SUMPRODUCT($J$62:DX$62,$J8:DX8)&lt;0.5, "Pending", IF(DX8&lt;0.5, "Complete", "In Progress"))</f>
        <v>Complete</v>
      </c>
      <c r="DZ8" s="24"/>
      <c r="EA8" s="25">
        <f>SUMPRODUCT($H$62:DG$62,$H8:DG8)</f>
        <v>4</v>
      </c>
    </row>
    <row r="9" spans="1:131" x14ac:dyDescent="0.25">
      <c r="A9" s="16" t="s">
        <v>124</v>
      </c>
      <c r="B9" s="16" t="s">
        <v>127</v>
      </c>
      <c r="C9" s="16" t="s">
        <v>121</v>
      </c>
      <c r="D9" s="17">
        <v>2</v>
      </c>
      <c r="E9" s="199" t="s">
        <v>131</v>
      </c>
      <c r="F9" s="18" t="s">
        <v>126</v>
      </c>
      <c r="G9" s="19" t="str">
        <f t="shared" ca="1" si="0"/>
        <v>Complete</v>
      </c>
      <c r="H9" s="20">
        <v>1</v>
      </c>
      <c r="I9" s="21">
        <v>2</v>
      </c>
      <c r="J9" s="22">
        <v>2</v>
      </c>
      <c r="K9" s="22">
        <f t="shared" si="11"/>
        <v>0</v>
      </c>
      <c r="L9" s="23" t="str">
        <f>IF(SUMPRODUCT($J$62:K$62,$J9:K9)&lt;0.5, "Pending", IF(K9&lt;0.5, "Complete", "In Progress"))</f>
        <v>Complete</v>
      </c>
      <c r="M9" s="22">
        <v>0</v>
      </c>
      <c r="N9" s="22">
        <f t="shared" si="12"/>
        <v>0</v>
      </c>
      <c r="O9" s="23" t="str">
        <f>IF(SUMPRODUCT($J$62:N$62,$J9:N9)&lt;0.5, "Pending", IF(N9&lt;0.5, "Complete", "In Progress"))</f>
        <v>Complete</v>
      </c>
      <c r="P9" s="22">
        <v>0</v>
      </c>
      <c r="Q9" s="22">
        <f t="shared" si="13"/>
        <v>0</v>
      </c>
      <c r="R9" s="23" t="str">
        <f>IF(SUMPRODUCT($J$62:Q$62,$J9:Q9)&lt;0.5, "Pending", IF(Q9&lt;0.5, "Complete", "In Progress"))</f>
        <v>Complete</v>
      </c>
      <c r="S9" s="22">
        <v>0</v>
      </c>
      <c r="T9" s="22">
        <f t="shared" si="14"/>
        <v>0</v>
      </c>
      <c r="U9" s="23" t="str">
        <f>IF(SUMPRODUCT($J$62:T$62,$J9:T9)&lt;0.5, "Pending", IF(T9&lt;0.5, "Complete", "In Progress"))</f>
        <v>Complete</v>
      </c>
      <c r="V9" s="22">
        <v>0</v>
      </c>
      <c r="W9" s="22">
        <f t="shared" si="15"/>
        <v>0</v>
      </c>
      <c r="X9" s="23" t="str">
        <f>IF(SUMPRODUCT($J$62:W$62,$J9:W9)&lt;0.5, "Pending", IF(W9&lt;0.5, "Complete", "In Progress"))</f>
        <v>Complete</v>
      </c>
      <c r="Y9" s="22">
        <v>0</v>
      </c>
      <c r="Z9" s="22">
        <f t="shared" si="16"/>
        <v>0</v>
      </c>
      <c r="AA9" s="23" t="str">
        <f>IF(SUMPRODUCT($J$62:Z$62,$J9:Z9)&lt;0.5, "Pending", IF(Z9&lt;0.5, "Complete", "In Progress"))</f>
        <v>Complete</v>
      </c>
      <c r="AB9" s="22">
        <v>0</v>
      </c>
      <c r="AC9" s="22">
        <f t="shared" si="17"/>
        <v>0</v>
      </c>
      <c r="AD9" s="23" t="str">
        <f>IF(SUMPRODUCT($J$62:AC$62,$J9:AC9)&lt;0.5, "Pending", IF(AC9&lt;0.5, "Complete", "In Progress"))</f>
        <v>Complete</v>
      </c>
      <c r="AE9" s="22">
        <v>0</v>
      </c>
      <c r="AF9" s="22">
        <f t="shared" si="18"/>
        <v>0</v>
      </c>
      <c r="AG9" s="23" t="str">
        <f>IF(SUMPRODUCT($J$62:AF$62,$J9:AF9)&lt;0.5, "Pending", IF(AF9&lt;0.5, "Complete", "In Progress"))</f>
        <v>Complete</v>
      </c>
      <c r="AH9" s="22">
        <v>0</v>
      </c>
      <c r="AI9" s="22">
        <f t="shared" si="19"/>
        <v>0</v>
      </c>
      <c r="AJ9" s="23" t="str">
        <f>IF(SUMPRODUCT($J$62:AI$62,$J9:AI9)&lt;0.5, "Pending", IF(AI9&lt;0.5, "Complete", "In Progress"))</f>
        <v>Complete</v>
      </c>
      <c r="AK9" s="22">
        <v>0</v>
      </c>
      <c r="AL9" s="22">
        <f t="shared" si="20"/>
        <v>0</v>
      </c>
      <c r="AM9" s="23" t="str">
        <f>IF(SUMPRODUCT($J$62:AL$62,$J9:AL9)&lt;0.5, "Pending", IF(AL9&lt;0.5, "Complete", "In Progress"))</f>
        <v>Complete</v>
      </c>
      <c r="AN9" s="22">
        <v>0</v>
      </c>
      <c r="AO9" s="22">
        <f t="shared" si="21"/>
        <v>0</v>
      </c>
      <c r="AP9" s="23" t="str">
        <f>IF(SUMPRODUCT($J$62:AO$62,$J9:AO9)&lt;0.5, "Pending", IF(AO9&lt;0.5, "Complete", "In Progress"))</f>
        <v>Complete</v>
      </c>
      <c r="AQ9" s="22">
        <v>0</v>
      </c>
      <c r="AR9" s="22">
        <f t="shared" si="22"/>
        <v>0</v>
      </c>
      <c r="AS9" s="23" t="str">
        <f>IF(SUMPRODUCT($J$62:AR$62,$J9:AR9)&lt;0.5, "Pending", IF(AR9&lt;0.5, "Complete", "In Progress"))</f>
        <v>Complete</v>
      </c>
      <c r="AT9" s="22">
        <v>0</v>
      </c>
      <c r="AU9" s="22">
        <f t="shared" si="23"/>
        <v>0</v>
      </c>
      <c r="AV9" s="23" t="str">
        <f>IF(SUMPRODUCT($J$62:AU$62,$J9:AU9)&lt;0.5, "Pending", IF(AU9&lt;0.5, "Complete", "In Progress"))</f>
        <v>Complete</v>
      </c>
      <c r="AW9" s="22">
        <v>0</v>
      </c>
      <c r="AX9" s="22">
        <f t="shared" si="24"/>
        <v>0</v>
      </c>
      <c r="AY9" s="23" t="str">
        <f>IF(SUMPRODUCT($J$62:AX$62,$J9:AX9)&lt;0.5, "Pending", IF(AX9&lt;0.5, "Complete", "In Progress"))</f>
        <v>Complete</v>
      </c>
      <c r="AZ9" s="22">
        <v>0</v>
      </c>
      <c r="BA9" s="22">
        <f t="shared" si="25"/>
        <v>0</v>
      </c>
      <c r="BB9" s="23" t="str">
        <f>IF(SUMPRODUCT($J$62:BA$62,$J9:BA9)&lt;0.5, "Pending", IF(BA9&lt;0.5, "Complete", "In Progress"))</f>
        <v>Complete</v>
      </c>
      <c r="BC9" s="22">
        <v>0</v>
      </c>
      <c r="BD9" s="22">
        <f t="shared" si="26"/>
        <v>0</v>
      </c>
      <c r="BE9" s="23" t="str">
        <f>IF(SUMPRODUCT($J$62:BD$62,$J9:BD9)&lt;0.5, "Pending", IF(BD9&lt;0.5, "Complete", "In Progress"))</f>
        <v>Complete</v>
      </c>
      <c r="BF9" s="22">
        <v>0</v>
      </c>
      <c r="BG9" s="22">
        <f t="shared" si="27"/>
        <v>0</v>
      </c>
      <c r="BH9" s="23" t="str">
        <f>IF(SUMPRODUCT($J$62:BG$62,$J9:BG9)&lt;0.5, "Pending", IF(BG9&lt;0.5, "Complete", "In Progress"))</f>
        <v>Complete</v>
      </c>
      <c r="BI9" s="22">
        <v>0</v>
      </c>
      <c r="BJ9" s="22">
        <f t="shared" si="28"/>
        <v>0</v>
      </c>
      <c r="BK9" s="23" t="str">
        <f>IF(SUMPRODUCT($J$62:BJ$62,$J9:BJ9)&lt;0.5, "Pending", IF(BJ9&lt;0.5, "Complete", "In Progress"))</f>
        <v>Complete</v>
      </c>
      <c r="BL9" s="22">
        <v>0</v>
      </c>
      <c r="BM9" s="22">
        <f t="shared" si="29"/>
        <v>0</v>
      </c>
      <c r="BN9" s="23" t="str">
        <f>IF(SUMPRODUCT($J$62:BM$62,$J9:BM9)&lt;0.5, "Pending", IF(BM9&lt;0.5, "Complete", "In Progress"))</f>
        <v>Complete</v>
      </c>
      <c r="BO9" s="22">
        <v>0</v>
      </c>
      <c r="BP9" s="22">
        <f t="shared" si="30"/>
        <v>0</v>
      </c>
      <c r="BQ9" s="23" t="str">
        <f>IF(SUMPRODUCT($J$62:BP$62,$J9:BP9)&lt;0.5, "Pending", IF(BP9&lt;0.5, "Complete", "In Progress"))</f>
        <v>Complete</v>
      </c>
      <c r="BR9" s="22">
        <v>0</v>
      </c>
      <c r="BS9" s="22">
        <f t="shared" si="31"/>
        <v>0</v>
      </c>
      <c r="BT9" s="23" t="str">
        <f>IF(SUMPRODUCT($J$62:BS$62,$J9:BS9)&lt;0.5, "Pending", IF(BS9&lt;0.5, "Complete", "In Progress"))</f>
        <v>Complete</v>
      </c>
      <c r="BU9" s="22">
        <v>0</v>
      </c>
      <c r="BV9" s="22">
        <f t="shared" si="32"/>
        <v>0</v>
      </c>
      <c r="BW9" s="23" t="str">
        <f>IF(SUMPRODUCT($J$62:BV$62,$J9:BV9)&lt;0.5, "Pending", IF(BV9&lt;0.5, "Complete", "In Progress"))</f>
        <v>Complete</v>
      </c>
      <c r="BX9" s="22">
        <v>0</v>
      </c>
      <c r="BY9" s="22">
        <f t="shared" si="33"/>
        <v>0</v>
      </c>
      <c r="BZ9" s="23" t="str">
        <f>IF(SUMPRODUCT($J$62:BY$62,$J9:BY9)&lt;0.5, "Pending", IF(BY9&lt;0.5, "Complete", "In Progress"))</f>
        <v>Complete</v>
      </c>
      <c r="CA9" s="22">
        <v>0</v>
      </c>
      <c r="CB9" s="22">
        <f t="shared" si="34"/>
        <v>0</v>
      </c>
      <c r="CC9" s="23" t="str">
        <f>IF(SUMPRODUCT($J$62:CB$62,$J9:CB9)&lt;0.5, "Pending", IF(CB9&lt;0.5, "Complete", "In Progress"))</f>
        <v>Complete</v>
      </c>
      <c r="CD9" s="22">
        <v>0</v>
      </c>
      <c r="CE9" s="22">
        <f t="shared" si="35"/>
        <v>0</v>
      </c>
      <c r="CF9" s="23" t="str">
        <f>IF(SUMPRODUCT($J$62:CE$62,$J9:CE9)&lt;0.5, "Pending", IF(CE9&lt;0.5, "Complete", "In Progress"))</f>
        <v>Complete</v>
      </c>
      <c r="CG9" s="22">
        <v>0</v>
      </c>
      <c r="CH9" s="22">
        <f t="shared" si="36"/>
        <v>0</v>
      </c>
      <c r="CI9" s="23" t="str">
        <f>IF(SUMPRODUCT($J$62:CH$62,$J9:CH9)&lt;0.5, "Pending", IF(CH9&lt;0.5, "Complete", "In Progress"))</f>
        <v>Complete</v>
      </c>
      <c r="CJ9" s="22">
        <v>0</v>
      </c>
      <c r="CK9" s="22">
        <f t="shared" si="37"/>
        <v>0</v>
      </c>
      <c r="CL9" s="23" t="str">
        <f>IF(SUMPRODUCT($J$62:CK$62,$J9:CK9)&lt;0.5, "Pending", IF(CK9&lt;0.5, "Complete", "In Progress"))</f>
        <v>Complete</v>
      </c>
      <c r="CM9" s="22">
        <v>0</v>
      </c>
      <c r="CN9" s="22">
        <f t="shared" si="38"/>
        <v>0</v>
      </c>
      <c r="CO9" s="23" t="str">
        <f>IF(SUMPRODUCT($J$62:CN$62,$J9:CN9)&lt;0.5, "Pending", IF(CN9&lt;0.5, "Complete", "In Progress"))</f>
        <v>Complete</v>
      </c>
      <c r="CP9" s="22">
        <v>0</v>
      </c>
      <c r="CQ9" s="22">
        <f t="shared" si="39"/>
        <v>0</v>
      </c>
      <c r="CR9" s="23" t="str">
        <f>IF(SUMPRODUCT($J$62:CQ$62,$J9:CQ9)&lt;0.5, "Pending", IF(CQ9&lt;0.5, "Complete", "In Progress"))</f>
        <v>Complete</v>
      </c>
      <c r="CS9" s="22">
        <v>0</v>
      </c>
      <c r="CT9" s="22">
        <f t="shared" si="40"/>
        <v>0</v>
      </c>
      <c r="CU9" s="23" t="str">
        <f>IF(SUMPRODUCT($J$62:CT$62,$J9:CT9)&lt;0.5, "Pending", IF(CT9&lt;0.5, "Complete", "In Progress"))</f>
        <v>Complete</v>
      </c>
      <c r="CV9" s="22">
        <v>0</v>
      </c>
      <c r="CW9" s="22">
        <f t="shared" si="1"/>
        <v>0</v>
      </c>
      <c r="CX9" s="23" t="str">
        <f>IF(SUMPRODUCT($J$62:CW$62,$J9:CW9)&lt;0.5, "Pending", IF(CW9&lt;0.5, "Complete", "In Progress"))</f>
        <v>Complete</v>
      </c>
      <c r="CY9" s="22">
        <v>0</v>
      </c>
      <c r="CZ9" s="22">
        <f t="shared" si="2"/>
        <v>0</v>
      </c>
      <c r="DA9" s="23" t="str">
        <f>IF(SUMPRODUCT($J$62:CZ$62,$J9:CZ9)&lt;0.5, "Pending", IF(CZ9&lt;0.5, "Complete", "In Progress"))</f>
        <v>Complete</v>
      </c>
      <c r="DB9" s="22">
        <v>0</v>
      </c>
      <c r="DC9" s="22">
        <f t="shared" si="3"/>
        <v>0</v>
      </c>
      <c r="DD9" s="23" t="str">
        <f>IF(SUMPRODUCT($J$62:DC$62,$J9:DC9)&lt;0.5, "Pending", IF(DC9&lt;0.5, "Complete", "In Progress"))</f>
        <v>Complete</v>
      </c>
      <c r="DE9" s="22">
        <v>0</v>
      </c>
      <c r="DF9" s="22">
        <f t="shared" si="4"/>
        <v>0</v>
      </c>
      <c r="DG9" s="23" t="str">
        <f>IF(SUMPRODUCT($J$62:DF$62,$J9:DF9)&lt;0.5, "Pending", IF(DF9&lt;0.5, "Complete", "In Progress"))</f>
        <v>Complete</v>
      </c>
      <c r="DH9" s="22">
        <v>0</v>
      </c>
      <c r="DI9" s="22">
        <f t="shared" si="5"/>
        <v>0</v>
      </c>
      <c r="DJ9" s="23" t="str">
        <f>IF(SUMPRODUCT($J$62:DI$62,$J9:DI9)&lt;0.5, "Pending", IF(DI9&lt;0.5, "Complete", "In Progress"))</f>
        <v>Complete</v>
      </c>
      <c r="DK9" s="22">
        <v>0</v>
      </c>
      <c r="DL9" s="22">
        <f t="shared" si="6"/>
        <v>0</v>
      </c>
      <c r="DM9" s="23" t="str">
        <f>IF(SUMPRODUCT($J$62:DL$62,$J9:DL9)&lt;0.5, "Pending", IF(DL9&lt;0.5, "Complete", "In Progress"))</f>
        <v>Complete</v>
      </c>
      <c r="DN9" s="22">
        <v>0</v>
      </c>
      <c r="DO9" s="22">
        <f t="shared" si="7"/>
        <v>0</v>
      </c>
      <c r="DP9" s="23" t="str">
        <f>IF(SUMPRODUCT($J$62:DO$62,$J9:DO9)&lt;0.5, "Pending", IF(DO9&lt;0.5, "Complete", "In Progress"))</f>
        <v>Complete</v>
      </c>
      <c r="DQ9" s="22">
        <v>0</v>
      </c>
      <c r="DR9" s="22">
        <f t="shared" si="8"/>
        <v>0</v>
      </c>
      <c r="DS9" s="23" t="str">
        <f>IF(SUMPRODUCT($J$62:DR$62,$J9:DR9)&lt;0.5, "Pending", IF(DR9&lt;0.5, "Complete", "In Progress"))</f>
        <v>Complete</v>
      </c>
      <c r="DT9" s="22">
        <v>0</v>
      </c>
      <c r="DU9" s="22">
        <f t="shared" si="9"/>
        <v>0</v>
      </c>
      <c r="DV9" s="23" t="str">
        <f>IF(SUMPRODUCT($J$62:DU$62,$J9:DU9)&lt;0.5, "Pending", IF(DU9&lt;0.5, "Complete", "In Progress"))</f>
        <v>Complete</v>
      </c>
      <c r="DW9" s="22">
        <v>0</v>
      </c>
      <c r="DX9" s="22">
        <f t="shared" si="10"/>
        <v>0</v>
      </c>
      <c r="DY9" s="23" t="str">
        <f>IF(SUMPRODUCT($J$62:DX$62,$J9:DX9)&lt;0.5, "Pending", IF(DX9&lt;0.5, "Complete", "In Progress"))</f>
        <v>Complete</v>
      </c>
      <c r="DZ9" s="24"/>
      <c r="EA9" s="25">
        <f>SUMPRODUCT($H$62:DG$62,$H9:DG9)</f>
        <v>2</v>
      </c>
    </row>
    <row r="10" spans="1:131" x14ac:dyDescent="0.25">
      <c r="A10" s="16" t="s">
        <v>124</v>
      </c>
      <c r="B10" s="16" t="s">
        <v>127</v>
      </c>
      <c r="C10" s="16" t="s">
        <v>121</v>
      </c>
      <c r="D10" s="17">
        <v>2</v>
      </c>
      <c r="E10" s="199" t="s">
        <v>131</v>
      </c>
      <c r="F10" s="18" t="s">
        <v>129</v>
      </c>
      <c r="G10" s="19" t="str">
        <f t="shared" ca="1" si="0"/>
        <v>Complete</v>
      </c>
      <c r="H10" s="20">
        <v>1</v>
      </c>
      <c r="I10" s="21">
        <v>2</v>
      </c>
      <c r="J10" s="22">
        <v>2</v>
      </c>
      <c r="K10" s="22">
        <f t="shared" si="11"/>
        <v>0</v>
      </c>
      <c r="L10" s="23" t="str">
        <f>IF(SUMPRODUCT($J$62:K$62,$J10:K10)&lt;0.5, "Pending", IF(K10&lt;0.5, "Complete", "In Progress"))</f>
        <v>Complete</v>
      </c>
      <c r="M10" s="22">
        <v>0</v>
      </c>
      <c r="N10" s="22">
        <f t="shared" si="12"/>
        <v>0</v>
      </c>
      <c r="O10" s="23" t="str">
        <f>IF(SUMPRODUCT($J$62:N$62,$J10:N10)&lt;0.5, "Pending", IF(N10&lt;0.5, "Complete", "In Progress"))</f>
        <v>Complete</v>
      </c>
      <c r="P10" s="22">
        <v>0</v>
      </c>
      <c r="Q10" s="22">
        <f t="shared" si="13"/>
        <v>0</v>
      </c>
      <c r="R10" s="23" t="str">
        <f>IF(SUMPRODUCT($J$62:Q$62,$J10:Q10)&lt;0.5, "Pending", IF(Q10&lt;0.5, "Complete", "In Progress"))</f>
        <v>Complete</v>
      </c>
      <c r="S10" s="22">
        <v>0</v>
      </c>
      <c r="T10" s="22">
        <f t="shared" si="14"/>
        <v>0</v>
      </c>
      <c r="U10" s="23" t="str">
        <f>IF(SUMPRODUCT($J$62:T$62,$J10:T10)&lt;0.5, "Pending", IF(T10&lt;0.5, "Complete", "In Progress"))</f>
        <v>Complete</v>
      </c>
      <c r="V10" s="22">
        <v>0</v>
      </c>
      <c r="W10" s="22">
        <f t="shared" si="15"/>
        <v>0</v>
      </c>
      <c r="X10" s="23" t="str">
        <f>IF(SUMPRODUCT($J$62:W$62,$J10:W10)&lt;0.5, "Pending", IF(W10&lt;0.5, "Complete", "In Progress"))</f>
        <v>Complete</v>
      </c>
      <c r="Y10" s="22">
        <v>0</v>
      </c>
      <c r="Z10" s="22">
        <f t="shared" si="16"/>
        <v>0</v>
      </c>
      <c r="AA10" s="23" t="str">
        <f>IF(SUMPRODUCT($J$62:Z$62,$J10:Z10)&lt;0.5, "Pending", IF(Z10&lt;0.5, "Complete", "In Progress"))</f>
        <v>Complete</v>
      </c>
      <c r="AB10" s="22">
        <v>0</v>
      </c>
      <c r="AC10" s="22">
        <f t="shared" si="17"/>
        <v>0</v>
      </c>
      <c r="AD10" s="23" t="str">
        <f>IF(SUMPRODUCT($J$62:AC$62,$J10:AC10)&lt;0.5, "Pending", IF(AC10&lt;0.5, "Complete", "In Progress"))</f>
        <v>Complete</v>
      </c>
      <c r="AE10" s="22">
        <v>0</v>
      </c>
      <c r="AF10" s="22">
        <f t="shared" si="18"/>
        <v>0</v>
      </c>
      <c r="AG10" s="23" t="str">
        <f>IF(SUMPRODUCT($J$62:AF$62,$J10:AF10)&lt;0.5, "Pending", IF(AF10&lt;0.5, "Complete", "In Progress"))</f>
        <v>Complete</v>
      </c>
      <c r="AH10" s="22">
        <v>0</v>
      </c>
      <c r="AI10" s="22">
        <f t="shared" si="19"/>
        <v>0</v>
      </c>
      <c r="AJ10" s="23" t="str">
        <f>IF(SUMPRODUCT($J$62:AI$62,$J10:AI10)&lt;0.5, "Pending", IF(AI10&lt;0.5, "Complete", "In Progress"))</f>
        <v>Complete</v>
      </c>
      <c r="AK10" s="22">
        <v>0</v>
      </c>
      <c r="AL10" s="22">
        <f t="shared" si="20"/>
        <v>0</v>
      </c>
      <c r="AM10" s="23" t="str">
        <f>IF(SUMPRODUCT($J$62:AL$62,$J10:AL10)&lt;0.5, "Pending", IF(AL10&lt;0.5, "Complete", "In Progress"))</f>
        <v>Complete</v>
      </c>
      <c r="AN10" s="22">
        <v>0</v>
      </c>
      <c r="AO10" s="22">
        <f t="shared" si="21"/>
        <v>0</v>
      </c>
      <c r="AP10" s="23" t="str">
        <f>IF(SUMPRODUCT($J$62:AO$62,$J10:AO10)&lt;0.5, "Pending", IF(AO10&lt;0.5, "Complete", "In Progress"))</f>
        <v>Complete</v>
      </c>
      <c r="AQ10" s="22">
        <v>0</v>
      </c>
      <c r="AR10" s="22">
        <f t="shared" si="22"/>
        <v>0</v>
      </c>
      <c r="AS10" s="23" t="str">
        <f>IF(SUMPRODUCT($J$62:AR$62,$J10:AR10)&lt;0.5, "Pending", IF(AR10&lt;0.5, "Complete", "In Progress"))</f>
        <v>Complete</v>
      </c>
      <c r="AT10" s="22">
        <v>0</v>
      </c>
      <c r="AU10" s="22">
        <f t="shared" si="23"/>
        <v>0</v>
      </c>
      <c r="AV10" s="23" t="str">
        <f>IF(SUMPRODUCT($J$62:AU$62,$J10:AU10)&lt;0.5, "Pending", IF(AU10&lt;0.5, "Complete", "In Progress"))</f>
        <v>Complete</v>
      </c>
      <c r="AW10" s="22">
        <v>0</v>
      </c>
      <c r="AX10" s="22">
        <f t="shared" si="24"/>
        <v>0</v>
      </c>
      <c r="AY10" s="23" t="str">
        <f>IF(SUMPRODUCT($J$62:AX$62,$J10:AX10)&lt;0.5, "Pending", IF(AX10&lt;0.5, "Complete", "In Progress"))</f>
        <v>Complete</v>
      </c>
      <c r="AZ10" s="22">
        <v>0</v>
      </c>
      <c r="BA10" s="22">
        <f t="shared" si="25"/>
        <v>0</v>
      </c>
      <c r="BB10" s="23" t="str">
        <f>IF(SUMPRODUCT($J$62:BA$62,$J10:BA10)&lt;0.5, "Pending", IF(BA10&lt;0.5, "Complete", "In Progress"))</f>
        <v>Complete</v>
      </c>
      <c r="BC10" s="22">
        <v>0</v>
      </c>
      <c r="BD10" s="22">
        <f t="shared" si="26"/>
        <v>0</v>
      </c>
      <c r="BE10" s="23" t="str">
        <f>IF(SUMPRODUCT($J$62:BD$62,$J10:BD10)&lt;0.5, "Pending", IF(BD10&lt;0.5, "Complete", "In Progress"))</f>
        <v>Complete</v>
      </c>
      <c r="BF10" s="22">
        <v>0</v>
      </c>
      <c r="BG10" s="22">
        <f t="shared" si="27"/>
        <v>0</v>
      </c>
      <c r="BH10" s="23" t="str">
        <f>IF(SUMPRODUCT($J$62:BG$62,$J10:BG10)&lt;0.5, "Pending", IF(BG10&lt;0.5, "Complete", "In Progress"))</f>
        <v>Complete</v>
      </c>
      <c r="BI10" s="22">
        <v>0</v>
      </c>
      <c r="BJ10" s="22">
        <f t="shared" si="28"/>
        <v>0</v>
      </c>
      <c r="BK10" s="23" t="str">
        <f>IF(SUMPRODUCT($J$62:BJ$62,$J10:BJ10)&lt;0.5, "Pending", IF(BJ10&lt;0.5, "Complete", "In Progress"))</f>
        <v>Complete</v>
      </c>
      <c r="BL10" s="22">
        <v>0</v>
      </c>
      <c r="BM10" s="22">
        <f t="shared" si="29"/>
        <v>0</v>
      </c>
      <c r="BN10" s="23" t="str">
        <f>IF(SUMPRODUCT($J$62:BM$62,$J10:BM10)&lt;0.5, "Pending", IF(BM10&lt;0.5, "Complete", "In Progress"))</f>
        <v>Complete</v>
      </c>
      <c r="BO10" s="22">
        <v>0</v>
      </c>
      <c r="BP10" s="22">
        <f t="shared" si="30"/>
        <v>0</v>
      </c>
      <c r="BQ10" s="23" t="str">
        <f>IF(SUMPRODUCT($J$62:BP$62,$J10:BP10)&lt;0.5, "Pending", IF(BP10&lt;0.5, "Complete", "In Progress"))</f>
        <v>Complete</v>
      </c>
      <c r="BR10" s="22">
        <v>0</v>
      </c>
      <c r="BS10" s="22">
        <f t="shared" si="31"/>
        <v>0</v>
      </c>
      <c r="BT10" s="23" t="str">
        <f>IF(SUMPRODUCT($J$62:BS$62,$J10:BS10)&lt;0.5, "Pending", IF(BS10&lt;0.5, "Complete", "In Progress"))</f>
        <v>Complete</v>
      </c>
      <c r="BU10" s="22">
        <v>0</v>
      </c>
      <c r="BV10" s="22">
        <f t="shared" si="32"/>
        <v>0</v>
      </c>
      <c r="BW10" s="23" t="str">
        <f>IF(SUMPRODUCT($J$62:BV$62,$J10:BV10)&lt;0.5, "Pending", IF(BV10&lt;0.5, "Complete", "In Progress"))</f>
        <v>Complete</v>
      </c>
      <c r="BX10" s="22">
        <v>0</v>
      </c>
      <c r="BY10" s="22">
        <f t="shared" si="33"/>
        <v>0</v>
      </c>
      <c r="BZ10" s="23" t="str">
        <f>IF(SUMPRODUCT($J$62:BY$62,$J10:BY10)&lt;0.5, "Pending", IF(BY10&lt;0.5, "Complete", "In Progress"))</f>
        <v>Complete</v>
      </c>
      <c r="CA10" s="22">
        <v>0</v>
      </c>
      <c r="CB10" s="22">
        <f t="shared" si="34"/>
        <v>0</v>
      </c>
      <c r="CC10" s="23" t="str">
        <f>IF(SUMPRODUCT($J$62:CB$62,$J10:CB10)&lt;0.5, "Pending", IF(CB10&lt;0.5, "Complete", "In Progress"))</f>
        <v>Complete</v>
      </c>
      <c r="CD10" s="22">
        <v>0</v>
      </c>
      <c r="CE10" s="22">
        <f t="shared" si="35"/>
        <v>0</v>
      </c>
      <c r="CF10" s="23" t="str">
        <f>IF(SUMPRODUCT($J$62:CE$62,$J10:CE10)&lt;0.5, "Pending", IF(CE10&lt;0.5, "Complete", "In Progress"))</f>
        <v>Complete</v>
      </c>
      <c r="CG10" s="22">
        <v>0</v>
      </c>
      <c r="CH10" s="22">
        <f t="shared" si="36"/>
        <v>0</v>
      </c>
      <c r="CI10" s="23" t="str">
        <f>IF(SUMPRODUCT($J$62:CH$62,$J10:CH10)&lt;0.5, "Pending", IF(CH10&lt;0.5, "Complete", "In Progress"))</f>
        <v>Complete</v>
      </c>
      <c r="CJ10" s="22">
        <v>0</v>
      </c>
      <c r="CK10" s="22">
        <f t="shared" si="37"/>
        <v>0</v>
      </c>
      <c r="CL10" s="23" t="str">
        <f>IF(SUMPRODUCT($J$62:CK$62,$J10:CK10)&lt;0.5, "Pending", IF(CK10&lt;0.5, "Complete", "In Progress"))</f>
        <v>Complete</v>
      </c>
      <c r="CM10" s="22">
        <v>0</v>
      </c>
      <c r="CN10" s="22">
        <f t="shared" si="38"/>
        <v>0</v>
      </c>
      <c r="CO10" s="23" t="str">
        <f>IF(SUMPRODUCT($J$62:CN$62,$J10:CN10)&lt;0.5, "Pending", IF(CN10&lt;0.5, "Complete", "In Progress"))</f>
        <v>Complete</v>
      </c>
      <c r="CP10" s="22">
        <v>0</v>
      </c>
      <c r="CQ10" s="22">
        <f t="shared" si="39"/>
        <v>0</v>
      </c>
      <c r="CR10" s="23" t="str">
        <f>IF(SUMPRODUCT($J$62:CQ$62,$J10:CQ10)&lt;0.5, "Pending", IF(CQ10&lt;0.5, "Complete", "In Progress"))</f>
        <v>Complete</v>
      </c>
      <c r="CS10" s="22">
        <v>0</v>
      </c>
      <c r="CT10" s="22">
        <f t="shared" si="40"/>
        <v>0</v>
      </c>
      <c r="CU10" s="23" t="str">
        <f>IF(SUMPRODUCT($J$62:CT$62,$J10:CT10)&lt;0.5, "Pending", IF(CT10&lt;0.5, "Complete", "In Progress"))</f>
        <v>Complete</v>
      </c>
      <c r="CV10" s="22">
        <v>0</v>
      </c>
      <c r="CW10" s="22">
        <f t="shared" si="1"/>
        <v>0</v>
      </c>
      <c r="CX10" s="23" t="str">
        <f>IF(SUMPRODUCT($J$62:CW$62,$J10:CW10)&lt;0.5, "Pending", IF(CW10&lt;0.5, "Complete", "In Progress"))</f>
        <v>Complete</v>
      </c>
      <c r="CY10" s="22">
        <v>0</v>
      </c>
      <c r="CZ10" s="22">
        <f t="shared" si="2"/>
        <v>0</v>
      </c>
      <c r="DA10" s="23" t="str">
        <f>IF(SUMPRODUCT($J$62:CZ$62,$J10:CZ10)&lt;0.5, "Pending", IF(CZ10&lt;0.5, "Complete", "In Progress"))</f>
        <v>Complete</v>
      </c>
      <c r="DB10" s="22">
        <v>0</v>
      </c>
      <c r="DC10" s="22">
        <f t="shared" si="3"/>
        <v>0</v>
      </c>
      <c r="DD10" s="23" t="str">
        <f>IF(SUMPRODUCT($J$62:DC$62,$J10:DC10)&lt;0.5, "Pending", IF(DC10&lt;0.5, "Complete", "In Progress"))</f>
        <v>Complete</v>
      </c>
      <c r="DE10" s="22">
        <v>0</v>
      </c>
      <c r="DF10" s="22">
        <f t="shared" si="4"/>
        <v>0</v>
      </c>
      <c r="DG10" s="23" t="str">
        <f>IF(SUMPRODUCT($J$62:DF$62,$J10:DF10)&lt;0.5, "Pending", IF(DF10&lt;0.5, "Complete", "In Progress"))</f>
        <v>Complete</v>
      </c>
      <c r="DH10" s="22">
        <v>0</v>
      </c>
      <c r="DI10" s="22">
        <f t="shared" si="5"/>
        <v>0</v>
      </c>
      <c r="DJ10" s="23" t="str">
        <f>IF(SUMPRODUCT($J$62:DI$62,$J10:DI10)&lt;0.5, "Pending", IF(DI10&lt;0.5, "Complete", "In Progress"))</f>
        <v>Complete</v>
      </c>
      <c r="DK10" s="22">
        <v>0</v>
      </c>
      <c r="DL10" s="22">
        <f t="shared" si="6"/>
        <v>0</v>
      </c>
      <c r="DM10" s="23" t="str">
        <f>IF(SUMPRODUCT($J$62:DL$62,$J10:DL10)&lt;0.5, "Pending", IF(DL10&lt;0.5, "Complete", "In Progress"))</f>
        <v>Complete</v>
      </c>
      <c r="DN10" s="22">
        <v>0</v>
      </c>
      <c r="DO10" s="22">
        <f t="shared" si="7"/>
        <v>0</v>
      </c>
      <c r="DP10" s="23" t="str">
        <f>IF(SUMPRODUCT($J$62:DO$62,$J10:DO10)&lt;0.5, "Pending", IF(DO10&lt;0.5, "Complete", "In Progress"))</f>
        <v>Complete</v>
      </c>
      <c r="DQ10" s="22">
        <v>0</v>
      </c>
      <c r="DR10" s="22">
        <f t="shared" si="8"/>
        <v>0</v>
      </c>
      <c r="DS10" s="23" t="str">
        <f>IF(SUMPRODUCT($J$62:DR$62,$J10:DR10)&lt;0.5, "Pending", IF(DR10&lt;0.5, "Complete", "In Progress"))</f>
        <v>Complete</v>
      </c>
      <c r="DT10" s="22">
        <v>0</v>
      </c>
      <c r="DU10" s="22">
        <f t="shared" si="9"/>
        <v>0</v>
      </c>
      <c r="DV10" s="23" t="str">
        <f>IF(SUMPRODUCT($J$62:DU$62,$J10:DU10)&lt;0.5, "Pending", IF(DU10&lt;0.5, "Complete", "In Progress"))</f>
        <v>Complete</v>
      </c>
      <c r="DW10" s="22">
        <v>0</v>
      </c>
      <c r="DX10" s="22">
        <f t="shared" si="10"/>
        <v>0</v>
      </c>
      <c r="DY10" s="23" t="str">
        <f>IF(SUMPRODUCT($J$62:DX$62,$J10:DX10)&lt;0.5, "Pending", IF(DX10&lt;0.5, "Complete", "In Progress"))</f>
        <v>Complete</v>
      </c>
      <c r="DZ10" s="24"/>
      <c r="EA10" s="25">
        <f>SUMPRODUCT($H$62:DG$62,$H10:DG10)</f>
        <v>2</v>
      </c>
    </row>
    <row r="11" spans="1:131" x14ac:dyDescent="0.25">
      <c r="A11" s="16" t="s">
        <v>119</v>
      </c>
      <c r="B11" s="16" t="s">
        <v>132</v>
      </c>
      <c r="C11" s="16" t="s">
        <v>121</v>
      </c>
      <c r="D11" s="17">
        <v>3</v>
      </c>
      <c r="E11" s="199" t="s">
        <v>133</v>
      </c>
      <c r="F11" s="18" t="s">
        <v>134</v>
      </c>
      <c r="G11" s="19" t="str">
        <f t="shared" ca="1" si="0"/>
        <v>Complete</v>
      </c>
      <c r="H11" s="20">
        <v>1</v>
      </c>
      <c r="I11" s="21">
        <v>2</v>
      </c>
      <c r="J11" s="22">
        <v>2</v>
      </c>
      <c r="K11" s="22">
        <f t="shared" si="11"/>
        <v>0</v>
      </c>
      <c r="L11" s="23" t="str">
        <f>IF(SUMPRODUCT($J$62:K$62,$J11:K11)&lt;0.5, "Pending", IF(K11&lt;0.5, "Complete", "In Progress"))</f>
        <v>Complete</v>
      </c>
      <c r="M11" s="22">
        <v>0</v>
      </c>
      <c r="N11" s="22">
        <f t="shared" si="12"/>
        <v>0</v>
      </c>
      <c r="O11" s="23" t="str">
        <f>IF(SUMPRODUCT($J$62:N$62,$J11:N11)&lt;0.5, "Pending", IF(N11&lt;0.5, "Complete", "In Progress"))</f>
        <v>Complete</v>
      </c>
      <c r="P11" s="22">
        <v>0</v>
      </c>
      <c r="Q11" s="22">
        <f t="shared" si="13"/>
        <v>0</v>
      </c>
      <c r="R11" s="23" t="str">
        <f>IF(SUMPRODUCT($J$62:Q$62,$J11:Q11)&lt;0.5, "Pending", IF(Q11&lt;0.5, "Complete", "In Progress"))</f>
        <v>Complete</v>
      </c>
      <c r="S11" s="22">
        <v>0</v>
      </c>
      <c r="T11" s="22">
        <f t="shared" si="14"/>
        <v>0</v>
      </c>
      <c r="U11" s="23" t="str">
        <f>IF(SUMPRODUCT($J$62:T$62,$J11:T11)&lt;0.5, "Pending", IF(T11&lt;0.5, "Complete", "In Progress"))</f>
        <v>Complete</v>
      </c>
      <c r="V11" s="22">
        <v>0</v>
      </c>
      <c r="W11" s="22">
        <f t="shared" si="15"/>
        <v>0</v>
      </c>
      <c r="X11" s="23" t="str">
        <f>IF(SUMPRODUCT($J$62:W$62,$J11:W11)&lt;0.5, "Pending", IF(W11&lt;0.5, "Complete", "In Progress"))</f>
        <v>Complete</v>
      </c>
      <c r="Y11" s="22">
        <v>0</v>
      </c>
      <c r="Z11" s="22">
        <f t="shared" si="16"/>
        <v>0</v>
      </c>
      <c r="AA11" s="23" t="str">
        <f>IF(SUMPRODUCT($J$62:Z$62,$J11:Z11)&lt;0.5, "Pending", IF(Z11&lt;0.5, "Complete", "In Progress"))</f>
        <v>Complete</v>
      </c>
      <c r="AB11" s="22">
        <v>0</v>
      </c>
      <c r="AC11" s="22">
        <f t="shared" si="17"/>
        <v>0</v>
      </c>
      <c r="AD11" s="23" t="str">
        <f>IF(SUMPRODUCT($J$62:AC$62,$J11:AC11)&lt;0.5, "Pending", IF(AC11&lt;0.5, "Complete", "In Progress"))</f>
        <v>Complete</v>
      </c>
      <c r="AE11" s="22">
        <v>0</v>
      </c>
      <c r="AF11" s="22">
        <f t="shared" si="18"/>
        <v>0</v>
      </c>
      <c r="AG11" s="23" t="str">
        <f>IF(SUMPRODUCT($J$62:AF$62,$J11:AF11)&lt;0.5, "Pending", IF(AF11&lt;0.5, "Complete", "In Progress"))</f>
        <v>Complete</v>
      </c>
      <c r="AH11" s="22">
        <v>0</v>
      </c>
      <c r="AI11" s="22">
        <f t="shared" si="19"/>
        <v>0</v>
      </c>
      <c r="AJ11" s="23" t="str">
        <f>IF(SUMPRODUCT($J$62:AI$62,$J11:AI11)&lt;0.5, "Pending", IF(AI11&lt;0.5, "Complete", "In Progress"))</f>
        <v>Complete</v>
      </c>
      <c r="AK11" s="22">
        <v>0</v>
      </c>
      <c r="AL11" s="22">
        <f t="shared" si="20"/>
        <v>0</v>
      </c>
      <c r="AM11" s="23" t="str">
        <f>IF(SUMPRODUCT($J$62:AL$62,$J11:AL11)&lt;0.5, "Pending", IF(AL11&lt;0.5, "Complete", "In Progress"))</f>
        <v>Complete</v>
      </c>
      <c r="AN11" s="22">
        <v>0</v>
      </c>
      <c r="AO11" s="22">
        <f t="shared" si="21"/>
        <v>0</v>
      </c>
      <c r="AP11" s="23" t="str">
        <f>IF(SUMPRODUCT($J$62:AO$62,$J11:AO11)&lt;0.5, "Pending", IF(AO11&lt;0.5, "Complete", "In Progress"))</f>
        <v>Complete</v>
      </c>
      <c r="AQ11" s="22">
        <v>0</v>
      </c>
      <c r="AR11" s="22">
        <f t="shared" si="22"/>
        <v>0</v>
      </c>
      <c r="AS11" s="23" t="str">
        <f>IF(SUMPRODUCT($J$62:AR$62,$J11:AR11)&lt;0.5, "Pending", IF(AR11&lt;0.5, "Complete", "In Progress"))</f>
        <v>Complete</v>
      </c>
      <c r="AT11" s="22">
        <v>0</v>
      </c>
      <c r="AU11" s="22">
        <f t="shared" si="23"/>
        <v>0</v>
      </c>
      <c r="AV11" s="23" t="str">
        <f>IF(SUMPRODUCT($J$62:AU$62,$J11:AU11)&lt;0.5, "Pending", IF(AU11&lt;0.5, "Complete", "In Progress"))</f>
        <v>Complete</v>
      </c>
      <c r="AW11" s="22">
        <v>0</v>
      </c>
      <c r="AX11" s="22">
        <f t="shared" si="24"/>
        <v>0</v>
      </c>
      <c r="AY11" s="23" t="str">
        <f>IF(SUMPRODUCT($J$62:AX$62,$J11:AX11)&lt;0.5, "Pending", IF(AX11&lt;0.5, "Complete", "In Progress"))</f>
        <v>Complete</v>
      </c>
      <c r="AZ11" s="22">
        <v>0</v>
      </c>
      <c r="BA11" s="22">
        <f t="shared" si="25"/>
        <v>0</v>
      </c>
      <c r="BB11" s="23" t="str">
        <f>IF(SUMPRODUCT($J$62:BA$62,$J11:BA11)&lt;0.5, "Pending", IF(BA11&lt;0.5, "Complete", "In Progress"))</f>
        <v>Complete</v>
      </c>
      <c r="BC11" s="22">
        <v>0</v>
      </c>
      <c r="BD11" s="22">
        <f t="shared" si="26"/>
        <v>0</v>
      </c>
      <c r="BE11" s="23" t="str">
        <f>IF(SUMPRODUCT($J$62:BD$62,$J11:BD11)&lt;0.5, "Pending", IF(BD11&lt;0.5, "Complete", "In Progress"))</f>
        <v>Complete</v>
      </c>
      <c r="BF11" s="22">
        <v>0</v>
      </c>
      <c r="BG11" s="22">
        <f t="shared" si="27"/>
        <v>0</v>
      </c>
      <c r="BH11" s="23" t="str">
        <f>IF(SUMPRODUCT($J$62:BG$62,$J11:BG11)&lt;0.5, "Pending", IF(BG11&lt;0.5, "Complete", "In Progress"))</f>
        <v>Complete</v>
      </c>
      <c r="BI11" s="22">
        <v>0</v>
      </c>
      <c r="BJ11" s="22">
        <f t="shared" si="28"/>
        <v>0</v>
      </c>
      <c r="BK11" s="23" t="str">
        <f>IF(SUMPRODUCT($J$62:BJ$62,$J11:BJ11)&lt;0.5, "Pending", IF(BJ11&lt;0.5, "Complete", "In Progress"))</f>
        <v>Complete</v>
      </c>
      <c r="BL11" s="22">
        <v>0</v>
      </c>
      <c r="BM11" s="22">
        <f t="shared" si="29"/>
        <v>0</v>
      </c>
      <c r="BN11" s="23" t="str">
        <f>IF(SUMPRODUCT($J$62:BM$62,$J11:BM11)&lt;0.5, "Pending", IF(BM11&lt;0.5, "Complete", "In Progress"))</f>
        <v>Complete</v>
      </c>
      <c r="BO11" s="22">
        <v>0</v>
      </c>
      <c r="BP11" s="22">
        <f t="shared" si="30"/>
        <v>0</v>
      </c>
      <c r="BQ11" s="23" t="str">
        <f>IF(SUMPRODUCT($J$62:BP$62,$J11:BP11)&lt;0.5, "Pending", IF(BP11&lt;0.5, "Complete", "In Progress"))</f>
        <v>Complete</v>
      </c>
      <c r="BR11" s="22">
        <v>0</v>
      </c>
      <c r="BS11" s="22">
        <f t="shared" si="31"/>
        <v>0</v>
      </c>
      <c r="BT11" s="23" t="str">
        <f>IF(SUMPRODUCT($J$62:BS$62,$J11:BS11)&lt;0.5, "Pending", IF(BS11&lt;0.5, "Complete", "In Progress"))</f>
        <v>Complete</v>
      </c>
      <c r="BU11" s="22">
        <v>0</v>
      </c>
      <c r="BV11" s="22">
        <f t="shared" si="32"/>
        <v>0</v>
      </c>
      <c r="BW11" s="23" t="str">
        <f>IF(SUMPRODUCT($J$62:BV$62,$J11:BV11)&lt;0.5, "Pending", IF(BV11&lt;0.5, "Complete", "In Progress"))</f>
        <v>Complete</v>
      </c>
      <c r="BX11" s="22">
        <v>0</v>
      </c>
      <c r="BY11" s="22">
        <f t="shared" si="33"/>
        <v>0</v>
      </c>
      <c r="BZ11" s="23" t="str">
        <f>IF(SUMPRODUCT($J$62:BY$62,$J11:BY11)&lt;0.5, "Pending", IF(BY11&lt;0.5, "Complete", "In Progress"))</f>
        <v>Complete</v>
      </c>
      <c r="CA11" s="22">
        <v>0</v>
      </c>
      <c r="CB11" s="22">
        <f t="shared" si="34"/>
        <v>0</v>
      </c>
      <c r="CC11" s="23" t="str">
        <f>IF(SUMPRODUCT($J$62:CB$62,$J11:CB11)&lt;0.5, "Pending", IF(CB11&lt;0.5, "Complete", "In Progress"))</f>
        <v>Complete</v>
      </c>
      <c r="CD11" s="22">
        <v>0</v>
      </c>
      <c r="CE11" s="22">
        <f t="shared" si="35"/>
        <v>0</v>
      </c>
      <c r="CF11" s="23" t="str">
        <f>IF(SUMPRODUCT($J$62:CE$62,$J11:CE11)&lt;0.5, "Pending", IF(CE11&lt;0.5, "Complete", "In Progress"))</f>
        <v>Complete</v>
      </c>
      <c r="CG11" s="22">
        <v>0</v>
      </c>
      <c r="CH11" s="22">
        <f t="shared" si="36"/>
        <v>0</v>
      </c>
      <c r="CI11" s="23" t="str">
        <f>IF(SUMPRODUCT($J$62:CH$62,$J11:CH11)&lt;0.5, "Pending", IF(CH11&lt;0.5, "Complete", "In Progress"))</f>
        <v>Complete</v>
      </c>
      <c r="CJ11" s="22">
        <v>0</v>
      </c>
      <c r="CK11" s="22">
        <f t="shared" si="37"/>
        <v>0</v>
      </c>
      <c r="CL11" s="23" t="str">
        <f>IF(SUMPRODUCT($J$62:CK$62,$J11:CK11)&lt;0.5, "Pending", IF(CK11&lt;0.5, "Complete", "In Progress"))</f>
        <v>Complete</v>
      </c>
      <c r="CM11" s="22">
        <v>0</v>
      </c>
      <c r="CN11" s="22">
        <f t="shared" si="38"/>
        <v>0</v>
      </c>
      <c r="CO11" s="23" t="str">
        <f>IF(SUMPRODUCT($J$62:CN$62,$J11:CN11)&lt;0.5, "Pending", IF(CN11&lt;0.5, "Complete", "In Progress"))</f>
        <v>Complete</v>
      </c>
      <c r="CP11" s="22">
        <v>0</v>
      </c>
      <c r="CQ11" s="22">
        <f t="shared" si="39"/>
        <v>0</v>
      </c>
      <c r="CR11" s="23" t="str">
        <f>IF(SUMPRODUCT($J$62:CQ$62,$J11:CQ11)&lt;0.5, "Pending", IF(CQ11&lt;0.5, "Complete", "In Progress"))</f>
        <v>Complete</v>
      </c>
      <c r="CS11" s="22">
        <v>0</v>
      </c>
      <c r="CT11" s="22">
        <f t="shared" si="40"/>
        <v>0</v>
      </c>
      <c r="CU11" s="23" t="str">
        <f>IF(SUMPRODUCT($J$62:CT$62,$J11:CT11)&lt;0.5, "Pending", IF(CT11&lt;0.5, "Complete", "In Progress"))</f>
        <v>Complete</v>
      </c>
      <c r="CV11" s="22">
        <v>0</v>
      </c>
      <c r="CW11" s="22">
        <f t="shared" si="1"/>
        <v>0</v>
      </c>
      <c r="CX11" s="23" t="str">
        <f>IF(SUMPRODUCT($J$62:CW$62,$J11:CW11)&lt;0.5, "Pending", IF(CW11&lt;0.5, "Complete", "In Progress"))</f>
        <v>Complete</v>
      </c>
      <c r="CY11" s="22">
        <v>0</v>
      </c>
      <c r="CZ11" s="22">
        <f t="shared" si="2"/>
        <v>0</v>
      </c>
      <c r="DA11" s="23" t="str">
        <f>IF(SUMPRODUCT($J$62:CZ$62,$J11:CZ11)&lt;0.5, "Pending", IF(CZ11&lt;0.5, "Complete", "In Progress"))</f>
        <v>Complete</v>
      </c>
      <c r="DB11" s="22">
        <v>0</v>
      </c>
      <c r="DC11" s="22">
        <f t="shared" si="3"/>
        <v>0</v>
      </c>
      <c r="DD11" s="23" t="str">
        <f>IF(SUMPRODUCT($J$62:DC$62,$J11:DC11)&lt;0.5, "Pending", IF(DC11&lt;0.5, "Complete", "In Progress"))</f>
        <v>Complete</v>
      </c>
      <c r="DE11" s="22">
        <v>0</v>
      </c>
      <c r="DF11" s="22">
        <f t="shared" si="4"/>
        <v>0</v>
      </c>
      <c r="DG11" s="23" t="str">
        <f>IF(SUMPRODUCT($J$62:DF$62,$J11:DF11)&lt;0.5, "Pending", IF(DF11&lt;0.5, "Complete", "In Progress"))</f>
        <v>Complete</v>
      </c>
      <c r="DH11" s="22">
        <v>0</v>
      </c>
      <c r="DI11" s="22">
        <f t="shared" si="5"/>
        <v>0</v>
      </c>
      <c r="DJ11" s="23" t="str">
        <f>IF(SUMPRODUCT($J$62:DI$62,$J11:DI11)&lt;0.5, "Pending", IF(DI11&lt;0.5, "Complete", "In Progress"))</f>
        <v>Complete</v>
      </c>
      <c r="DK11" s="22">
        <v>0</v>
      </c>
      <c r="DL11" s="22">
        <f t="shared" si="6"/>
        <v>0</v>
      </c>
      <c r="DM11" s="23" t="str">
        <f>IF(SUMPRODUCT($J$62:DL$62,$J11:DL11)&lt;0.5, "Pending", IF(DL11&lt;0.5, "Complete", "In Progress"))</f>
        <v>Complete</v>
      </c>
      <c r="DN11" s="22">
        <v>0</v>
      </c>
      <c r="DO11" s="22">
        <f t="shared" si="7"/>
        <v>0</v>
      </c>
      <c r="DP11" s="23" t="str">
        <f>IF(SUMPRODUCT($J$62:DO$62,$J11:DO11)&lt;0.5, "Pending", IF(DO11&lt;0.5, "Complete", "In Progress"))</f>
        <v>Complete</v>
      </c>
      <c r="DQ11" s="22">
        <v>0</v>
      </c>
      <c r="DR11" s="22">
        <f t="shared" si="8"/>
        <v>0</v>
      </c>
      <c r="DS11" s="23" t="str">
        <f>IF(SUMPRODUCT($J$62:DR$62,$J11:DR11)&lt;0.5, "Pending", IF(DR11&lt;0.5, "Complete", "In Progress"))</f>
        <v>Complete</v>
      </c>
      <c r="DT11" s="22">
        <v>0</v>
      </c>
      <c r="DU11" s="22">
        <f t="shared" si="9"/>
        <v>0</v>
      </c>
      <c r="DV11" s="23" t="str">
        <f>IF(SUMPRODUCT($J$62:DU$62,$J11:DU11)&lt;0.5, "Pending", IF(DU11&lt;0.5, "Complete", "In Progress"))</f>
        <v>Complete</v>
      </c>
      <c r="DW11" s="22">
        <v>0</v>
      </c>
      <c r="DX11" s="22">
        <f t="shared" si="10"/>
        <v>0</v>
      </c>
      <c r="DY11" s="23" t="str">
        <f>IF(SUMPRODUCT($J$62:DX$62,$J11:DX11)&lt;0.5, "Pending", IF(DX11&lt;0.5, "Complete", "In Progress"))</f>
        <v>Complete</v>
      </c>
      <c r="DZ11" s="24"/>
      <c r="EA11" s="25">
        <f>SUMPRODUCT($H$62:DG$62,$H11:DG11)</f>
        <v>2</v>
      </c>
    </row>
    <row r="12" spans="1:131" x14ac:dyDescent="0.25">
      <c r="A12" s="16" t="s">
        <v>124</v>
      </c>
      <c r="B12" s="16" t="s">
        <v>132</v>
      </c>
      <c r="C12" s="16" t="s">
        <v>121</v>
      </c>
      <c r="D12" s="17">
        <v>3</v>
      </c>
      <c r="E12" s="199" t="s">
        <v>135</v>
      </c>
      <c r="F12" s="18" t="s">
        <v>126</v>
      </c>
      <c r="G12" s="19" t="str">
        <f t="shared" ca="1" si="0"/>
        <v>Complete</v>
      </c>
      <c r="H12" s="20">
        <v>1</v>
      </c>
      <c r="I12" s="21">
        <v>1</v>
      </c>
      <c r="J12" s="22">
        <v>2</v>
      </c>
      <c r="K12" s="22">
        <f t="shared" si="11"/>
        <v>0</v>
      </c>
      <c r="L12" s="23" t="str">
        <f>IF(SUMPRODUCT($J$62:K$62,$J12:K12)&lt;0.5, "Pending", IF(K12&lt;0.5, "Complete", "In Progress"))</f>
        <v>Complete</v>
      </c>
      <c r="M12" s="22">
        <v>0</v>
      </c>
      <c r="N12" s="22">
        <f t="shared" si="12"/>
        <v>0</v>
      </c>
      <c r="O12" s="23" t="str">
        <f>IF(SUMPRODUCT($J$62:N$62,$J12:N12)&lt;0.5, "Pending", IF(N12&lt;0.5, "Complete", "In Progress"))</f>
        <v>Complete</v>
      </c>
      <c r="P12" s="22">
        <v>0</v>
      </c>
      <c r="Q12" s="22">
        <f t="shared" si="13"/>
        <v>0</v>
      </c>
      <c r="R12" s="23" t="str">
        <f>IF(SUMPRODUCT($J$62:Q$62,$J12:Q12)&lt;0.5, "Pending", IF(Q12&lt;0.5, "Complete", "In Progress"))</f>
        <v>Complete</v>
      </c>
      <c r="S12" s="22">
        <v>0</v>
      </c>
      <c r="T12" s="22">
        <f t="shared" si="14"/>
        <v>0</v>
      </c>
      <c r="U12" s="23" t="str">
        <f>IF(SUMPRODUCT($J$62:T$62,$J12:T12)&lt;0.5, "Pending", IF(T12&lt;0.5, "Complete", "In Progress"))</f>
        <v>Complete</v>
      </c>
      <c r="V12" s="22">
        <v>0</v>
      </c>
      <c r="W12" s="22">
        <f t="shared" si="15"/>
        <v>0</v>
      </c>
      <c r="X12" s="23" t="str">
        <f>IF(SUMPRODUCT($J$62:W$62,$J12:W12)&lt;0.5, "Pending", IF(W12&lt;0.5, "Complete", "In Progress"))</f>
        <v>Complete</v>
      </c>
      <c r="Y12" s="22">
        <v>0</v>
      </c>
      <c r="Z12" s="22">
        <f t="shared" si="16"/>
        <v>0</v>
      </c>
      <c r="AA12" s="23" t="str">
        <f>IF(SUMPRODUCT($J$62:Z$62,$J12:Z12)&lt;0.5, "Pending", IF(Z12&lt;0.5, "Complete", "In Progress"))</f>
        <v>Complete</v>
      </c>
      <c r="AB12" s="22">
        <v>0</v>
      </c>
      <c r="AC12" s="22">
        <f t="shared" si="17"/>
        <v>0</v>
      </c>
      <c r="AD12" s="23" t="str">
        <f>IF(SUMPRODUCT($J$62:AC$62,$J12:AC12)&lt;0.5, "Pending", IF(AC12&lt;0.5, "Complete", "In Progress"))</f>
        <v>Complete</v>
      </c>
      <c r="AE12" s="22">
        <v>0</v>
      </c>
      <c r="AF12" s="22">
        <f t="shared" si="18"/>
        <v>0</v>
      </c>
      <c r="AG12" s="23" t="str">
        <f>IF(SUMPRODUCT($J$62:AF$62,$J12:AF12)&lt;0.5, "Pending", IF(AF12&lt;0.5, "Complete", "In Progress"))</f>
        <v>Complete</v>
      </c>
      <c r="AH12" s="22">
        <v>0</v>
      </c>
      <c r="AI12" s="22">
        <f t="shared" si="19"/>
        <v>0</v>
      </c>
      <c r="AJ12" s="23" t="str">
        <f>IF(SUMPRODUCT($J$62:AI$62,$J12:AI12)&lt;0.5, "Pending", IF(AI12&lt;0.5, "Complete", "In Progress"))</f>
        <v>Complete</v>
      </c>
      <c r="AK12" s="22">
        <v>0</v>
      </c>
      <c r="AL12" s="22">
        <f t="shared" si="20"/>
        <v>0</v>
      </c>
      <c r="AM12" s="23" t="str">
        <f>IF(SUMPRODUCT($J$62:AL$62,$J12:AL12)&lt;0.5, "Pending", IF(AL12&lt;0.5, "Complete", "In Progress"))</f>
        <v>Complete</v>
      </c>
      <c r="AN12" s="22">
        <v>0</v>
      </c>
      <c r="AO12" s="22">
        <f t="shared" si="21"/>
        <v>0</v>
      </c>
      <c r="AP12" s="23" t="str">
        <f>IF(SUMPRODUCT($J$62:AO$62,$J12:AO12)&lt;0.5, "Pending", IF(AO12&lt;0.5, "Complete", "In Progress"))</f>
        <v>Complete</v>
      </c>
      <c r="AQ12" s="22">
        <v>0</v>
      </c>
      <c r="AR12" s="22">
        <f t="shared" si="22"/>
        <v>0</v>
      </c>
      <c r="AS12" s="23" t="str">
        <f>IF(SUMPRODUCT($J$62:AR$62,$J12:AR12)&lt;0.5, "Pending", IF(AR12&lt;0.5, "Complete", "In Progress"))</f>
        <v>Complete</v>
      </c>
      <c r="AT12" s="22">
        <v>0</v>
      </c>
      <c r="AU12" s="22">
        <f t="shared" si="23"/>
        <v>0</v>
      </c>
      <c r="AV12" s="23" t="str">
        <f>IF(SUMPRODUCT($J$62:AU$62,$J12:AU12)&lt;0.5, "Pending", IF(AU12&lt;0.5, "Complete", "In Progress"))</f>
        <v>Complete</v>
      </c>
      <c r="AW12" s="22">
        <v>0</v>
      </c>
      <c r="AX12" s="22">
        <f t="shared" si="24"/>
        <v>0</v>
      </c>
      <c r="AY12" s="23" t="str">
        <f>IF(SUMPRODUCT($J$62:AX$62,$J12:AX12)&lt;0.5, "Pending", IF(AX12&lt;0.5, "Complete", "In Progress"))</f>
        <v>Complete</v>
      </c>
      <c r="AZ12" s="22">
        <v>0</v>
      </c>
      <c r="BA12" s="22">
        <f t="shared" si="25"/>
        <v>0</v>
      </c>
      <c r="BB12" s="23" t="str">
        <f>IF(SUMPRODUCT($J$62:BA$62,$J12:BA12)&lt;0.5, "Pending", IF(BA12&lt;0.5, "Complete", "In Progress"))</f>
        <v>Complete</v>
      </c>
      <c r="BC12" s="22">
        <v>0</v>
      </c>
      <c r="BD12" s="22">
        <f t="shared" si="26"/>
        <v>0</v>
      </c>
      <c r="BE12" s="23" t="str">
        <f>IF(SUMPRODUCT($J$62:BD$62,$J12:BD12)&lt;0.5, "Pending", IF(BD12&lt;0.5, "Complete", "In Progress"))</f>
        <v>Complete</v>
      </c>
      <c r="BF12" s="22">
        <v>0</v>
      </c>
      <c r="BG12" s="22">
        <f t="shared" si="27"/>
        <v>0</v>
      </c>
      <c r="BH12" s="23" t="str">
        <f>IF(SUMPRODUCT($J$62:BG$62,$J12:BG12)&lt;0.5, "Pending", IF(BG12&lt;0.5, "Complete", "In Progress"))</f>
        <v>Complete</v>
      </c>
      <c r="BI12" s="22">
        <v>0</v>
      </c>
      <c r="BJ12" s="22">
        <f t="shared" si="28"/>
        <v>0</v>
      </c>
      <c r="BK12" s="23" t="str">
        <f>IF(SUMPRODUCT($J$62:BJ$62,$J12:BJ12)&lt;0.5, "Pending", IF(BJ12&lt;0.5, "Complete", "In Progress"))</f>
        <v>Complete</v>
      </c>
      <c r="BL12" s="22">
        <v>0</v>
      </c>
      <c r="BM12" s="22">
        <f t="shared" si="29"/>
        <v>0</v>
      </c>
      <c r="BN12" s="23" t="str">
        <f>IF(SUMPRODUCT($J$62:BM$62,$J12:BM12)&lt;0.5, "Pending", IF(BM12&lt;0.5, "Complete", "In Progress"))</f>
        <v>Complete</v>
      </c>
      <c r="BO12" s="22">
        <v>0</v>
      </c>
      <c r="BP12" s="22">
        <f t="shared" si="30"/>
        <v>0</v>
      </c>
      <c r="BQ12" s="23" t="str">
        <f>IF(SUMPRODUCT($J$62:BP$62,$J12:BP12)&lt;0.5, "Pending", IF(BP12&lt;0.5, "Complete", "In Progress"))</f>
        <v>Complete</v>
      </c>
      <c r="BR12" s="22">
        <v>0</v>
      </c>
      <c r="BS12" s="22">
        <f t="shared" si="31"/>
        <v>0</v>
      </c>
      <c r="BT12" s="23" t="str">
        <f>IF(SUMPRODUCT($J$62:BS$62,$J12:BS12)&lt;0.5, "Pending", IF(BS12&lt;0.5, "Complete", "In Progress"))</f>
        <v>Complete</v>
      </c>
      <c r="BU12" s="22">
        <v>0</v>
      </c>
      <c r="BV12" s="22">
        <f t="shared" si="32"/>
        <v>0</v>
      </c>
      <c r="BW12" s="23" t="str">
        <f>IF(SUMPRODUCT($J$62:BV$62,$J12:BV12)&lt;0.5, "Pending", IF(BV12&lt;0.5, "Complete", "In Progress"))</f>
        <v>Complete</v>
      </c>
      <c r="BX12" s="22">
        <v>0</v>
      </c>
      <c r="BY12" s="22">
        <f t="shared" si="33"/>
        <v>0</v>
      </c>
      <c r="BZ12" s="23" t="str">
        <f>IF(SUMPRODUCT($J$62:BY$62,$J12:BY12)&lt;0.5, "Pending", IF(BY12&lt;0.5, "Complete", "In Progress"))</f>
        <v>Complete</v>
      </c>
      <c r="CA12" s="22">
        <v>0</v>
      </c>
      <c r="CB12" s="22">
        <f t="shared" si="34"/>
        <v>0</v>
      </c>
      <c r="CC12" s="23" t="str">
        <f>IF(SUMPRODUCT($J$62:CB$62,$J12:CB12)&lt;0.5, "Pending", IF(CB12&lt;0.5, "Complete", "In Progress"))</f>
        <v>Complete</v>
      </c>
      <c r="CD12" s="22">
        <v>0</v>
      </c>
      <c r="CE12" s="22">
        <f t="shared" si="35"/>
        <v>0</v>
      </c>
      <c r="CF12" s="23" t="str">
        <f>IF(SUMPRODUCT($J$62:CE$62,$J12:CE12)&lt;0.5, "Pending", IF(CE12&lt;0.5, "Complete", "In Progress"))</f>
        <v>Complete</v>
      </c>
      <c r="CG12" s="22">
        <v>0</v>
      </c>
      <c r="CH12" s="22">
        <f t="shared" si="36"/>
        <v>0</v>
      </c>
      <c r="CI12" s="23" t="str">
        <f>IF(SUMPRODUCT($J$62:CH$62,$J12:CH12)&lt;0.5, "Pending", IF(CH12&lt;0.5, "Complete", "In Progress"))</f>
        <v>Complete</v>
      </c>
      <c r="CJ12" s="22">
        <v>0</v>
      </c>
      <c r="CK12" s="22">
        <f t="shared" si="37"/>
        <v>0</v>
      </c>
      <c r="CL12" s="23" t="str">
        <f>IF(SUMPRODUCT($J$62:CK$62,$J12:CK12)&lt;0.5, "Pending", IF(CK12&lt;0.5, "Complete", "In Progress"))</f>
        <v>Complete</v>
      </c>
      <c r="CM12" s="22">
        <v>0</v>
      </c>
      <c r="CN12" s="22">
        <f t="shared" si="38"/>
        <v>0</v>
      </c>
      <c r="CO12" s="23" t="str">
        <f>IF(SUMPRODUCT($J$62:CN$62,$J12:CN12)&lt;0.5, "Pending", IF(CN12&lt;0.5, "Complete", "In Progress"))</f>
        <v>Complete</v>
      </c>
      <c r="CP12" s="22">
        <v>0</v>
      </c>
      <c r="CQ12" s="22">
        <f t="shared" si="39"/>
        <v>0</v>
      </c>
      <c r="CR12" s="23" t="str">
        <f>IF(SUMPRODUCT($J$62:CQ$62,$J12:CQ12)&lt;0.5, "Pending", IF(CQ12&lt;0.5, "Complete", "In Progress"))</f>
        <v>Complete</v>
      </c>
      <c r="CS12" s="22">
        <v>0</v>
      </c>
      <c r="CT12" s="22">
        <f t="shared" si="40"/>
        <v>0</v>
      </c>
      <c r="CU12" s="23" t="str">
        <f>IF(SUMPRODUCT($J$62:CT$62,$J12:CT12)&lt;0.5, "Pending", IF(CT12&lt;0.5, "Complete", "In Progress"))</f>
        <v>Complete</v>
      </c>
      <c r="CV12" s="22">
        <v>0</v>
      </c>
      <c r="CW12" s="22">
        <f t="shared" si="1"/>
        <v>0</v>
      </c>
      <c r="CX12" s="23" t="str">
        <f>IF(SUMPRODUCT($J$62:CW$62,$J12:CW12)&lt;0.5, "Pending", IF(CW12&lt;0.5, "Complete", "In Progress"))</f>
        <v>Complete</v>
      </c>
      <c r="CY12" s="22">
        <v>0</v>
      </c>
      <c r="CZ12" s="22">
        <f t="shared" si="2"/>
        <v>0</v>
      </c>
      <c r="DA12" s="23" t="str">
        <f>IF(SUMPRODUCT($J$62:CZ$62,$J12:CZ12)&lt;0.5, "Pending", IF(CZ12&lt;0.5, "Complete", "In Progress"))</f>
        <v>Complete</v>
      </c>
      <c r="DB12" s="22">
        <v>0</v>
      </c>
      <c r="DC12" s="22">
        <f t="shared" si="3"/>
        <v>0</v>
      </c>
      <c r="DD12" s="23" t="str">
        <f>IF(SUMPRODUCT($J$62:DC$62,$J12:DC12)&lt;0.5, "Pending", IF(DC12&lt;0.5, "Complete", "In Progress"))</f>
        <v>Complete</v>
      </c>
      <c r="DE12" s="22">
        <v>0</v>
      </c>
      <c r="DF12" s="22">
        <f t="shared" si="4"/>
        <v>0</v>
      </c>
      <c r="DG12" s="23" t="str">
        <f>IF(SUMPRODUCT($J$62:DF$62,$J12:DF12)&lt;0.5, "Pending", IF(DF12&lt;0.5, "Complete", "In Progress"))</f>
        <v>Complete</v>
      </c>
      <c r="DH12" s="22">
        <v>0</v>
      </c>
      <c r="DI12" s="22">
        <f t="shared" si="5"/>
        <v>0</v>
      </c>
      <c r="DJ12" s="23" t="str">
        <f>IF(SUMPRODUCT($J$62:DI$62,$J12:DI12)&lt;0.5, "Pending", IF(DI12&lt;0.5, "Complete", "In Progress"))</f>
        <v>Complete</v>
      </c>
      <c r="DK12" s="22">
        <v>0</v>
      </c>
      <c r="DL12" s="22">
        <f t="shared" si="6"/>
        <v>0</v>
      </c>
      <c r="DM12" s="23" t="str">
        <f>IF(SUMPRODUCT($J$62:DL$62,$J12:DL12)&lt;0.5, "Pending", IF(DL12&lt;0.5, "Complete", "In Progress"))</f>
        <v>Complete</v>
      </c>
      <c r="DN12" s="22">
        <v>0</v>
      </c>
      <c r="DO12" s="22">
        <f t="shared" si="7"/>
        <v>0</v>
      </c>
      <c r="DP12" s="23" t="str">
        <f>IF(SUMPRODUCT($J$62:DO$62,$J12:DO12)&lt;0.5, "Pending", IF(DO12&lt;0.5, "Complete", "In Progress"))</f>
        <v>Complete</v>
      </c>
      <c r="DQ12" s="22">
        <v>0</v>
      </c>
      <c r="DR12" s="22">
        <f t="shared" si="8"/>
        <v>0</v>
      </c>
      <c r="DS12" s="23" t="str">
        <f>IF(SUMPRODUCT($J$62:DR$62,$J12:DR12)&lt;0.5, "Pending", IF(DR12&lt;0.5, "Complete", "In Progress"))</f>
        <v>Complete</v>
      </c>
      <c r="DT12" s="22">
        <v>0</v>
      </c>
      <c r="DU12" s="22">
        <f t="shared" si="9"/>
        <v>0</v>
      </c>
      <c r="DV12" s="23" t="str">
        <f>IF(SUMPRODUCT($J$62:DU$62,$J12:DU12)&lt;0.5, "Pending", IF(DU12&lt;0.5, "Complete", "In Progress"))</f>
        <v>Complete</v>
      </c>
      <c r="DW12" s="22">
        <v>0</v>
      </c>
      <c r="DX12" s="22">
        <f t="shared" si="10"/>
        <v>0</v>
      </c>
      <c r="DY12" s="23" t="str">
        <f>IF(SUMPRODUCT($J$62:DX$62,$J12:DX12)&lt;0.5, "Pending", IF(DX12&lt;0.5, "Complete", "In Progress"))</f>
        <v>Complete</v>
      </c>
      <c r="DZ12" s="24"/>
      <c r="EA12" s="25">
        <f>SUMPRODUCT($H$62:DG$62,$H12:DG12)</f>
        <v>2</v>
      </c>
    </row>
    <row r="13" spans="1:131" x14ac:dyDescent="0.25">
      <c r="A13" s="16" t="s">
        <v>124</v>
      </c>
      <c r="B13" s="16" t="s">
        <v>132</v>
      </c>
      <c r="C13" s="16" t="s">
        <v>121</v>
      </c>
      <c r="D13" s="17">
        <v>3</v>
      </c>
      <c r="E13" s="199" t="s">
        <v>135</v>
      </c>
      <c r="F13" s="18" t="s">
        <v>134</v>
      </c>
      <c r="G13" s="19" t="str">
        <f t="shared" ca="1" si="0"/>
        <v>Complete</v>
      </c>
      <c r="H13" s="20">
        <v>1</v>
      </c>
      <c r="I13" s="21">
        <v>1</v>
      </c>
      <c r="J13" s="22">
        <v>1</v>
      </c>
      <c r="K13" s="22">
        <f t="shared" si="11"/>
        <v>0</v>
      </c>
      <c r="L13" s="23" t="str">
        <f>IF(SUMPRODUCT($J$62:K$62,$J13:K13)&lt;0.5, "Pending", IF(K13&lt;0.5, "Complete", "In Progress"))</f>
        <v>Complete</v>
      </c>
      <c r="M13" s="22">
        <v>0</v>
      </c>
      <c r="N13" s="22">
        <f t="shared" si="12"/>
        <v>0</v>
      </c>
      <c r="O13" s="23" t="str">
        <f>IF(SUMPRODUCT($J$62:N$62,$J13:N13)&lt;0.5, "Pending", IF(N13&lt;0.5, "Complete", "In Progress"))</f>
        <v>Complete</v>
      </c>
      <c r="P13" s="22">
        <v>0</v>
      </c>
      <c r="Q13" s="22">
        <f t="shared" si="13"/>
        <v>0</v>
      </c>
      <c r="R13" s="23" t="str">
        <f>IF(SUMPRODUCT($J$62:Q$62,$J13:Q13)&lt;0.5, "Pending", IF(Q13&lt;0.5, "Complete", "In Progress"))</f>
        <v>Complete</v>
      </c>
      <c r="S13" s="22">
        <v>0</v>
      </c>
      <c r="T13" s="22">
        <f t="shared" si="14"/>
        <v>0</v>
      </c>
      <c r="U13" s="23" t="str">
        <f>IF(SUMPRODUCT($J$62:T$62,$J13:T13)&lt;0.5, "Pending", IF(T13&lt;0.5, "Complete", "In Progress"))</f>
        <v>Complete</v>
      </c>
      <c r="V13" s="22">
        <v>0</v>
      </c>
      <c r="W13" s="22">
        <f t="shared" si="15"/>
        <v>0</v>
      </c>
      <c r="X13" s="23" t="str">
        <f>IF(SUMPRODUCT($J$62:W$62,$J13:W13)&lt;0.5, "Pending", IF(W13&lt;0.5, "Complete", "In Progress"))</f>
        <v>Complete</v>
      </c>
      <c r="Y13" s="22">
        <v>0</v>
      </c>
      <c r="Z13" s="22">
        <f t="shared" si="16"/>
        <v>0</v>
      </c>
      <c r="AA13" s="23" t="str">
        <f>IF(SUMPRODUCT($J$62:Z$62,$J13:Z13)&lt;0.5, "Pending", IF(Z13&lt;0.5, "Complete", "In Progress"))</f>
        <v>Complete</v>
      </c>
      <c r="AB13" s="22">
        <v>0</v>
      </c>
      <c r="AC13" s="22">
        <f t="shared" si="17"/>
        <v>0</v>
      </c>
      <c r="AD13" s="23" t="str">
        <f>IF(SUMPRODUCT($J$62:AC$62,$J13:AC13)&lt;0.5, "Pending", IF(AC13&lt;0.5, "Complete", "In Progress"))</f>
        <v>Complete</v>
      </c>
      <c r="AE13" s="22">
        <v>0</v>
      </c>
      <c r="AF13" s="22">
        <f t="shared" si="18"/>
        <v>0</v>
      </c>
      <c r="AG13" s="23" t="str">
        <f>IF(SUMPRODUCT($J$62:AF$62,$J13:AF13)&lt;0.5, "Pending", IF(AF13&lt;0.5, "Complete", "In Progress"))</f>
        <v>Complete</v>
      </c>
      <c r="AH13" s="22">
        <v>0</v>
      </c>
      <c r="AI13" s="22">
        <f t="shared" si="19"/>
        <v>0</v>
      </c>
      <c r="AJ13" s="23" t="str">
        <f>IF(SUMPRODUCT($J$62:AI$62,$J13:AI13)&lt;0.5, "Pending", IF(AI13&lt;0.5, "Complete", "In Progress"))</f>
        <v>Complete</v>
      </c>
      <c r="AK13" s="22">
        <v>0</v>
      </c>
      <c r="AL13" s="22">
        <f t="shared" si="20"/>
        <v>0</v>
      </c>
      <c r="AM13" s="23" t="str">
        <f>IF(SUMPRODUCT($J$62:AL$62,$J13:AL13)&lt;0.5, "Pending", IF(AL13&lt;0.5, "Complete", "In Progress"))</f>
        <v>Complete</v>
      </c>
      <c r="AN13" s="22">
        <v>0</v>
      </c>
      <c r="AO13" s="22">
        <f t="shared" si="21"/>
        <v>0</v>
      </c>
      <c r="AP13" s="23" t="str">
        <f>IF(SUMPRODUCT($J$62:AO$62,$J13:AO13)&lt;0.5, "Pending", IF(AO13&lt;0.5, "Complete", "In Progress"))</f>
        <v>Complete</v>
      </c>
      <c r="AQ13" s="22">
        <v>0</v>
      </c>
      <c r="AR13" s="22">
        <f t="shared" si="22"/>
        <v>0</v>
      </c>
      <c r="AS13" s="23" t="str">
        <f>IF(SUMPRODUCT($J$62:AR$62,$J13:AR13)&lt;0.5, "Pending", IF(AR13&lt;0.5, "Complete", "In Progress"))</f>
        <v>Complete</v>
      </c>
      <c r="AT13" s="22">
        <v>0</v>
      </c>
      <c r="AU13" s="22">
        <f t="shared" si="23"/>
        <v>0</v>
      </c>
      <c r="AV13" s="23" t="str">
        <f>IF(SUMPRODUCT($J$62:AU$62,$J13:AU13)&lt;0.5, "Pending", IF(AU13&lt;0.5, "Complete", "In Progress"))</f>
        <v>Complete</v>
      </c>
      <c r="AW13" s="22">
        <v>0</v>
      </c>
      <c r="AX13" s="22">
        <f t="shared" si="24"/>
        <v>0</v>
      </c>
      <c r="AY13" s="23" t="str">
        <f>IF(SUMPRODUCT($J$62:AX$62,$J13:AX13)&lt;0.5, "Pending", IF(AX13&lt;0.5, "Complete", "In Progress"))</f>
        <v>Complete</v>
      </c>
      <c r="AZ13" s="22">
        <v>0</v>
      </c>
      <c r="BA13" s="22">
        <f t="shared" si="25"/>
        <v>0</v>
      </c>
      <c r="BB13" s="23" t="str">
        <f>IF(SUMPRODUCT($J$62:BA$62,$J13:BA13)&lt;0.5, "Pending", IF(BA13&lt;0.5, "Complete", "In Progress"))</f>
        <v>Complete</v>
      </c>
      <c r="BC13" s="22">
        <v>0</v>
      </c>
      <c r="BD13" s="22">
        <f t="shared" si="26"/>
        <v>0</v>
      </c>
      <c r="BE13" s="23" t="str">
        <f>IF(SUMPRODUCT($J$62:BD$62,$J13:BD13)&lt;0.5, "Pending", IF(BD13&lt;0.5, "Complete", "In Progress"))</f>
        <v>Complete</v>
      </c>
      <c r="BF13" s="22">
        <v>0</v>
      </c>
      <c r="BG13" s="22">
        <f t="shared" si="27"/>
        <v>0</v>
      </c>
      <c r="BH13" s="23" t="str">
        <f>IF(SUMPRODUCT($J$62:BG$62,$J13:BG13)&lt;0.5, "Pending", IF(BG13&lt;0.5, "Complete", "In Progress"))</f>
        <v>Complete</v>
      </c>
      <c r="BI13" s="22">
        <v>0</v>
      </c>
      <c r="BJ13" s="22">
        <f t="shared" si="28"/>
        <v>0</v>
      </c>
      <c r="BK13" s="23" t="str">
        <f>IF(SUMPRODUCT($J$62:BJ$62,$J13:BJ13)&lt;0.5, "Pending", IF(BJ13&lt;0.5, "Complete", "In Progress"))</f>
        <v>Complete</v>
      </c>
      <c r="BL13" s="22">
        <v>0</v>
      </c>
      <c r="BM13" s="22">
        <f t="shared" si="29"/>
        <v>0</v>
      </c>
      <c r="BN13" s="23" t="str">
        <f>IF(SUMPRODUCT($J$62:BM$62,$J13:BM13)&lt;0.5, "Pending", IF(BM13&lt;0.5, "Complete", "In Progress"))</f>
        <v>Complete</v>
      </c>
      <c r="BO13" s="22">
        <v>0</v>
      </c>
      <c r="BP13" s="22">
        <f t="shared" si="30"/>
        <v>0</v>
      </c>
      <c r="BQ13" s="23" t="str">
        <f>IF(SUMPRODUCT($J$62:BP$62,$J13:BP13)&lt;0.5, "Pending", IF(BP13&lt;0.5, "Complete", "In Progress"))</f>
        <v>Complete</v>
      </c>
      <c r="BR13" s="22">
        <v>0</v>
      </c>
      <c r="BS13" s="22">
        <f t="shared" si="31"/>
        <v>0</v>
      </c>
      <c r="BT13" s="23" t="str">
        <f>IF(SUMPRODUCT($J$62:BS$62,$J13:BS13)&lt;0.5, "Pending", IF(BS13&lt;0.5, "Complete", "In Progress"))</f>
        <v>Complete</v>
      </c>
      <c r="BU13" s="22">
        <v>0</v>
      </c>
      <c r="BV13" s="22">
        <f t="shared" si="32"/>
        <v>0</v>
      </c>
      <c r="BW13" s="23" t="str">
        <f>IF(SUMPRODUCT($J$62:BV$62,$J13:BV13)&lt;0.5, "Pending", IF(BV13&lt;0.5, "Complete", "In Progress"))</f>
        <v>Complete</v>
      </c>
      <c r="BX13" s="22">
        <v>0</v>
      </c>
      <c r="BY13" s="22">
        <f t="shared" si="33"/>
        <v>0</v>
      </c>
      <c r="BZ13" s="23" t="str">
        <f>IF(SUMPRODUCT($J$62:BY$62,$J13:BY13)&lt;0.5, "Pending", IF(BY13&lt;0.5, "Complete", "In Progress"))</f>
        <v>Complete</v>
      </c>
      <c r="CA13" s="22">
        <v>0</v>
      </c>
      <c r="CB13" s="22">
        <f t="shared" si="34"/>
        <v>0</v>
      </c>
      <c r="CC13" s="23" t="str">
        <f>IF(SUMPRODUCT($J$62:CB$62,$J13:CB13)&lt;0.5, "Pending", IF(CB13&lt;0.5, "Complete", "In Progress"))</f>
        <v>Complete</v>
      </c>
      <c r="CD13" s="22">
        <v>0</v>
      </c>
      <c r="CE13" s="22">
        <f t="shared" si="35"/>
        <v>0</v>
      </c>
      <c r="CF13" s="23" t="str">
        <f>IF(SUMPRODUCT($J$62:CE$62,$J13:CE13)&lt;0.5, "Pending", IF(CE13&lt;0.5, "Complete", "In Progress"))</f>
        <v>Complete</v>
      </c>
      <c r="CG13" s="22">
        <v>0</v>
      </c>
      <c r="CH13" s="22">
        <f t="shared" si="36"/>
        <v>0</v>
      </c>
      <c r="CI13" s="23" t="str">
        <f>IF(SUMPRODUCT($J$62:CH$62,$J13:CH13)&lt;0.5, "Pending", IF(CH13&lt;0.5, "Complete", "In Progress"))</f>
        <v>Complete</v>
      </c>
      <c r="CJ13" s="22">
        <v>0</v>
      </c>
      <c r="CK13" s="22">
        <f t="shared" si="37"/>
        <v>0</v>
      </c>
      <c r="CL13" s="23" t="str">
        <f>IF(SUMPRODUCT($J$62:CK$62,$J13:CK13)&lt;0.5, "Pending", IF(CK13&lt;0.5, "Complete", "In Progress"))</f>
        <v>Complete</v>
      </c>
      <c r="CM13" s="22">
        <v>0</v>
      </c>
      <c r="CN13" s="22">
        <f t="shared" si="38"/>
        <v>0</v>
      </c>
      <c r="CO13" s="23" t="str">
        <f>IF(SUMPRODUCT($J$62:CN$62,$J13:CN13)&lt;0.5, "Pending", IF(CN13&lt;0.5, "Complete", "In Progress"))</f>
        <v>Complete</v>
      </c>
      <c r="CP13" s="22">
        <v>0</v>
      </c>
      <c r="CQ13" s="22">
        <f t="shared" si="39"/>
        <v>0</v>
      </c>
      <c r="CR13" s="23" t="str">
        <f>IF(SUMPRODUCT($J$62:CQ$62,$J13:CQ13)&lt;0.5, "Pending", IF(CQ13&lt;0.5, "Complete", "In Progress"))</f>
        <v>Complete</v>
      </c>
      <c r="CS13" s="22">
        <v>0</v>
      </c>
      <c r="CT13" s="22">
        <f t="shared" si="40"/>
        <v>0</v>
      </c>
      <c r="CU13" s="23" t="str">
        <f>IF(SUMPRODUCT($J$62:CT$62,$J13:CT13)&lt;0.5, "Pending", IF(CT13&lt;0.5, "Complete", "In Progress"))</f>
        <v>Complete</v>
      </c>
      <c r="CV13" s="22">
        <v>0</v>
      </c>
      <c r="CW13" s="22">
        <f t="shared" si="1"/>
        <v>0</v>
      </c>
      <c r="CX13" s="23" t="str">
        <f>IF(SUMPRODUCT($J$62:CW$62,$J13:CW13)&lt;0.5, "Pending", IF(CW13&lt;0.5, "Complete", "In Progress"))</f>
        <v>Complete</v>
      </c>
      <c r="CY13" s="22">
        <v>0</v>
      </c>
      <c r="CZ13" s="22">
        <f t="shared" si="2"/>
        <v>0</v>
      </c>
      <c r="DA13" s="23" t="str">
        <f>IF(SUMPRODUCT($J$62:CZ$62,$J13:CZ13)&lt;0.5, "Pending", IF(CZ13&lt;0.5, "Complete", "In Progress"))</f>
        <v>Complete</v>
      </c>
      <c r="DB13" s="22">
        <v>0</v>
      </c>
      <c r="DC13" s="22">
        <f t="shared" si="3"/>
        <v>0</v>
      </c>
      <c r="DD13" s="23" t="str">
        <f>IF(SUMPRODUCT($J$62:DC$62,$J13:DC13)&lt;0.5, "Pending", IF(DC13&lt;0.5, "Complete", "In Progress"))</f>
        <v>Complete</v>
      </c>
      <c r="DE13" s="22">
        <v>0</v>
      </c>
      <c r="DF13" s="22">
        <f t="shared" si="4"/>
        <v>0</v>
      </c>
      <c r="DG13" s="23" t="str">
        <f>IF(SUMPRODUCT($J$62:DF$62,$J13:DF13)&lt;0.5, "Pending", IF(DF13&lt;0.5, "Complete", "In Progress"))</f>
        <v>Complete</v>
      </c>
      <c r="DH13" s="22">
        <v>0</v>
      </c>
      <c r="DI13" s="22">
        <f t="shared" si="5"/>
        <v>0</v>
      </c>
      <c r="DJ13" s="23" t="str">
        <f>IF(SUMPRODUCT($J$62:DI$62,$J13:DI13)&lt;0.5, "Pending", IF(DI13&lt;0.5, "Complete", "In Progress"))</f>
        <v>Complete</v>
      </c>
      <c r="DK13" s="22">
        <v>0</v>
      </c>
      <c r="DL13" s="22">
        <f t="shared" si="6"/>
        <v>0</v>
      </c>
      <c r="DM13" s="23" t="str">
        <f>IF(SUMPRODUCT($J$62:DL$62,$J13:DL13)&lt;0.5, "Pending", IF(DL13&lt;0.5, "Complete", "In Progress"))</f>
        <v>Complete</v>
      </c>
      <c r="DN13" s="22">
        <v>0</v>
      </c>
      <c r="DO13" s="22">
        <f t="shared" si="7"/>
        <v>0</v>
      </c>
      <c r="DP13" s="23" t="str">
        <f>IF(SUMPRODUCT($J$62:DO$62,$J13:DO13)&lt;0.5, "Pending", IF(DO13&lt;0.5, "Complete", "In Progress"))</f>
        <v>Complete</v>
      </c>
      <c r="DQ13" s="22">
        <v>0</v>
      </c>
      <c r="DR13" s="22">
        <f t="shared" si="8"/>
        <v>0</v>
      </c>
      <c r="DS13" s="23" t="str">
        <f>IF(SUMPRODUCT($J$62:DR$62,$J13:DR13)&lt;0.5, "Pending", IF(DR13&lt;0.5, "Complete", "In Progress"))</f>
        <v>Complete</v>
      </c>
      <c r="DT13" s="22">
        <v>0</v>
      </c>
      <c r="DU13" s="22">
        <f t="shared" si="9"/>
        <v>0</v>
      </c>
      <c r="DV13" s="23" t="str">
        <f>IF(SUMPRODUCT($J$62:DU$62,$J13:DU13)&lt;0.5, "Pending", IF(DU13&lt;0.5, "Complete", "In Progress"))</f>
        <v>Complete</v>
      </c>
      <c r="DW13" s="22">
        <v>0</v>
      </c>
      <c r="DX13" s="22">
        <f t="shared" si="10"/>
        <v>0</v>
      </c>
      <c r="DY13" s="23" t="str">
        <f>IF(SUMPRODUCT($J$62:DX$62,$J13:DX13)&lt;0.5, "Pending", IF(DX13&lt;0.5, "Complete", "In Progress"))</f>
        <v>Complete</v>
      </c>
      <c r="DZ13" s="24"/>
      <c r="EA13" s="25">
        <f>SUMPRODUCT($H$62:DG$62,$H13:DG13)</f>
        <v>1</v>
      </c>
    </row>
    <row r="14" spans="1:131" x14ac:dyDescent="0.25">
      <c r="A14" s="16" t="s">
        <v>119</v>
      </c>
      <c r="B14" s="16" t="s">
        <v>136</v>
      </c>
      <c r="C14" s="16" t="s">
        <v>121</v>
      </c>
      <c r="D14" s="17">
        <v>4</v>
      </c>
      <c r="E14" s="199" t="s">
        <v>137</v>
      </c>
      <c r="F14" s="18" t="s">
        <v>129</v>
      </c>
      <c r="G14" s="19" t="str">
        <f t="shared" ca="1" si="0"/>
        <v>Complete</v>
      </c>
      <c r="H14" s="20">
        <v>1</v>
      </c>
      <c r="I14" s="21">
        <v>4</v>
      </c>
      <c r="J14" s="22">
        <v>4</v>
      </c>
      <c r="K14" s="22">
        <f t="shared" si="11"/>
        <v>0</v>
      </c>
      <c r="L14" s="23" t="str">
        <f>IF(SUMPRODUCT($J$62:K$62,$J14:K14)&lt;0.5, "Pending", IF(K14&lt;0.5, "Complete", "In Progress"))</f>
        <v>Complete</v>
      </c>
      <c r="M14" s="22">
        <v>0</v>
      </c>
      <c r="N14" s="22">
        <f t="shared" si="12"/>
        <v>0</v>
      </c>
      <c r="O14" s="23" t="str">
        <f>IF(SUMPRODUCT($J$62:N$62,$J14:N14)&lt;0.5, "Pending", IF(N14&lt;0.5, "Complete", "In Progress"))</f>
        <v>Complete</v>
      </c>
      <c r="P14" s="22">
        <v>0</v>
      </c>
      <c r="Q14" s="22">
        <f t="shared" si="13"/>
        <v>0</v>
      </c>
      <c r="R14" s="23" t="str">
        <f>IF(SUMPRODUCT($J$62:Q$62,$J14:Q14)&lt;0.5, "Pending", IF(Q14&lt;0.5, "Complete", "In Progress"))</f>
        <v>Complete</v>
      </c>
      <c r="S14" s="22">
        <v>0</v>
      </c>
      <c r="T14" s="22">
        <f t="shared" si="14"/>
        <v>0</v>
      </c>
      <c r="U14" s="23" t="str">
        <f>IF(SUMPRODUCT($J$62:T$62,$J14:T14)&lt;0.5, "Pending", IF(T14&lt;0.5, "Complete", "In Progress"))</f>
        <v>Complete</v>
      </c>
      <c r="V14" s="22">
        <v>0</v>
      </c>
      <c r="W14" s="22">
        <f t="shared" si="15"/>
        <v>0</v>
      </c>
      <c r="X14" s="23" t="str">
        <f>IF(SUMPRODUCT($J$62:W$62,$J14:W14)&lt;0.5, "Pending", IF(W14&lt;0.5, "Complete", "In Progress"))</f>
        <v>Complete</v>
      </c>
      <c r="Y14" s="22">
        <v>0</v>
      </c>
      <c r="Z14" s="22">
        <f t="shared" si="16"/>
        <v>0</v>
      </c>
      <c r="AA14" s="23" t="str">
        <f>IF(SUMPRODUCT($J$62:Z$62,$J14:Z14)&lt;0.5, "Pending", IF(Z14&lt;0.5, "Complete", "In Progress"))</f>
        <v>Complete</v>
      </c>
      <c r="AB14" s="22">
        <v>0</v>
      </c>
      <c r="AC14" s="22">
        <f t="shared" si="17"/>
        <v>0</v>
      </c>
      <c r="AD14" s="23" t="str">
        <f>IF(SUMPRODUCT($J$62:AC$62,$J14:AC14)&lt;0.5, "Pending", IF(AC14&lt;0.5, "Complete", "In Progress"))</f>
        <v>Complete</v>
      </c>
      <c r="AE14" s="22">
        <v>0</v>
      </c>
      <c r="AF14" s="22">
        <f t="shared" si="18"/>
        <v>0</v>
      </c>
      <c r="AG14" s="23" t="str">
        <f>IF(SUMPRODUCT($J$62:AF$62,$J14:AF14)&lt;0.5, "Pending", IF(AF14&lt;0.5, "Complete", "In Progress"))</f>
        <v>Complete</v>
      </c>
      <c r="AH14" s="22">
        <v>0</v>
      </c>
      <c r="AI14" s="22">
        <f t="shared" si="19"/>
        <v>0</v>
      </c>
      <c r="AJ14" s="23" t="str">
        <f>IF(SUMPRODUCT($J$62:AI$62,$J14:AI14)&lt;0.5, "Pending", IF(AI14&lt;0.5, "Complete", "In Progress"))</f>
        <v>Complete</v>
      </c>
      <c r="AK14" s="22">
        <v>0</v>
      </c>
      <c r="AL14" s="22">
        <f t="shared" si="20"/>
        <v>0</v>
      </c>
      <c r="AM14" s="23" t="str">
        <f>IF(SUMPRODUCT($J$62:AL$62,$J14:AL14)&lt;0.5, "Pending", IF(AL14&lt;0.5, "Complete", "In Progress"))</f>
        <v>Complete</v>
      </c>
      <c r="AN14" s="22">
        <v>0</v>
      </c>
      <c r="AO14" s="22">
        <f t="shared" si="21"/>
        <v>0</v>
      </c>
      <c r="AP14" s="23" t="str">
        <f>IF(SUMPRODUCT($J$62:AO$62,$J14:AO14)&lt;0.5, "Pending", IF(AO14&lt;0.5, "Complete", "In Progress"))</f>
        <v>Complete</v>
      </c>
      <c r="AQ14" s="22">
        <v>0</v>
      </c>
      <c r="AR14" s="22">
        <f t="shared" si="22"/>
        <v>0</v>
      </c>
      <c r="AS14" s="23" t="str">
        <f>IF(SUMPRODUCT($J$62:AR$62,$J14:AR14)&lt;0.5, "Pending", IF(AR14&lt;0.5, "Complete", "In Progress"))</f>
        <v>Complete</v>
      </c>
      <c r="AT14" s="22">
        <v>0</v>
      </c>
      <c r="AU14" s="22">
        <f t="shared" si="23"/>
        <v>0</v>
      </c>
      <c r="AV14" s="23" t="str">
        <f>IF(SUMPRODUCT($J$62:AU$62,$J14:AU14)&lt;0.5, "Pending", IF(AU14&lt;0.5, "Complete", "In Progress"))</f>
        <v>Complete</v>
      </c>
      <c r="AW14" s="22">
        <v>0</v>
      </c>
      <c r="AX14" s="22">
        <f t="shared" si="24"/>
        <v>0</v>
      </c>
      <c r="AY14" s="23" t="str">
        <f>IF(SUMPRODUCT($J$62:AX$62,$J14:AX14)&lt;0.5, "Pending", IF(AX14&lt;0.5, "Complete", "In Progress"))</f>
        <v>Complete</v>
      </c>
      <c r="AZ14" s="22">
        <v>0</v>
      </c>
      <c r="BA14" s="22">
        <f t="shared" si="25"/>
        <v>0</v>
      </c>
      <c r="BB14" s="23" t="str">
        <f>IF(SUMPRODUCT($J$62:BA$62,$J14:BA14)&lt;0.5, "Pending", IF(BA14&lt;0.5, "Complete", "In Progress"))</f>
        <v>Complete</v>
      </c>
      <c r="BC14" s="22">
        <v>0</v>
      </c>
      <c r="BD14" s="22">
        <f t="shared" si="26"/>
        <v>0</v>
      </c>
      <c r="BE14" s="23" t="str">
        <f>IF(SUMPRODUCT($J$62:BD$62,$J14:BD14)&lt;0.5, "Pending", IF(BD14&lt;0.5, "Complete", "In Progress"))</f>
        <v>Complete</v>
      </c>
      <c r="BF14" s="22">
        <v>0</v>
      </c>
      <c r="BG14" s="22">
        <f t="shared" si="27"/>
        <v>0</v>
      </c>
      <c r="BH14" s="23" t="str">
        <f>IF(SUMPRODUCT($J$62:BG$62,$J14:BG14)&lt;0.5, "Pending", IF(BG14&lt;0.5, "Complete", "In Progress"))</f>
        <v>Complete</v>
      </c>
      <c r="BI14" s="22">
        <v>0</v>
      </c>
      <c r="BJ14" s="22">
        <f t="shared" si="28"/>
        <v>0</v>
      </c>
      <c r="BK14" s="23" t="str">
        <f>IF(SUMPRODUCT($J$62:BJ$62,$J14:BJ14)&lt;0.5, "Pending", IF(BJ14&lt;0.5, "Complete", "In Progress"))</f>
        <v>Complete</v>
      </c>
      <c r="BL14" s="22">
        <v>0</v>
      </c>
      <c r="BM14" s="22">
        <f t="shared" si="29"/>
        <v>0</v>
      </c>
      <c r="BN14" s="23" t="str">
        <f>IF(SUMPRODUCT($J$62:BM$62,$J14:BM14)&lt;0.5, "Pending", IF(BM14&lt;0.5, "Complete", "In Progress"))</f>
        <v>Complete</v>
      </c>
      <c r="BO14" s="22">
        <v>0</v>
      </c>
      <c r="BP14" s="22">
        <f t="shared" si="30"/>
        <v>0</v>
      </c>
      <c r="BQ14" s="23" t="str">
        <f>IF(SUMPRODUCT($J$62:BP$62,$J14:BP14)&lt;0.5, "Pending", IF(BP14&lt;0.5, "Complete", "In Progress"))</f>
        <v>Complete</v>
      </c>
      <c r="BR14" s="22">
        <v>0</v>
      </c>
      <c r="BS14" s="22">
        <f t="shared" si="31"/>
        <v>0</v>
      </c>
      <c r="BT14" s="23" t="str">
        <f>IF(SUMPRODUCT($J$62:BS$62,$J14:BS14)&lt;0.5, "Pending", IF(BS14&lt;0.5, "Complete", "In Progress"))</f>
        <v>Complete</v>
      </c>
      <c r="BU14" s="22">
        <v>0</v>
      </c>
      <c r="BV14" s="22">
        <f t="shared" si="32"/>
        <v>0</v>
      </c>
      <c r="BW14" s="23" t="str">
        <f>IF(SUMPRODUCT($J$62:BV$62,$J14:BV14)&lt;0.5, "Pending", IF(BV14&lt;0.5, "Complete", "In Progress"))</f>
        <v>Complete</v>
      </c>
      <c r="BX14" s="22">
        <v>0</v>
      </c>
      <c r="BY14" s="22">
        <f t="shared" si="33"/>
        <v>0</v>
      </c>
      <c r="BZ14" s="23" t="str">
        <f>IF(SUMPRODUCT($J$62:BY$62,$J14:BY14)&lt;0.5, "Pending", IF(BY14&lt;0.5, "Complete", "In Progress"))</f>
        <v>Complete</v>
      </c>
      <c r="CA14" s="22">
        <v>0</v>
      </c>
      <c r="CB14" s="22">
        <f t="shared" si="34"/>
        <v>0</v>
      </c>
      <c r="CC14" s="23" t="str">
        <f>IF(SUMPRODUCT($J$62:CB$62,$J14:CB14)&lt;0.5, "Pending", IF(CB14&lt;0.5, "Complete", "In Progress"))</f>
        <v>Complete</v>
      </c>
      <c r="CD14" s="22">
        <v>0</v>
      </c>
      <c r="CE14" s="22">
        <f t="shared" si="35"/>
        <v>0</v>
      </c>
      <c r="CF14" s="23" t="str">
        <f>IF(SUMPRODUCT($J$62:CE$62,$J14:CE14)&lt;0.5, "Pending", IF(CE14&lt;0.5, "Complete", "In Progress"))</f>
        <v>Complete</v>
      </c>
      <c r="CG14" s="22">
        <v>0</v>
      </c>
      <c r="CH14" s="22">
        <f t="shared" si="36"/>
        <v>0</v>
      </c>
      <c r="CI14" s="23" t="str">
        <f>IF(SUMPRODUCT($J$62:CH$62,$J14:CH14)&lt;0.5, "Pending", IF(CH14&lt;0.5, "Complete", "In Progress"))</f>
        <v>Complete</v>
      </c>
      <c r="CJ14" s="22">
        <v>0</v>
      </c>
      <c r="CK14" s="22">
        <f t="shared" si="37"/>
        <v>0</v>
      </c>
      <c r="CL14" s="23" t="str">
        <f>IF(SUMPRODUCT($J$62:CK$62,$J14:CK14)&lt;0.5, "Pending", IF(CK14&lt;0.5, "Complete", "In Progress"))</f>
        <v>Complete</v>
      </c>
      <c r="CM14" s="22">
        <v>0</v>
      </c>
      <c r="CN14" s="22">
        <f t="shared" si="38"/>
        <v>0</v>
      </c>
      <c r="CO14" s="23" t="str">
        <f>IF(SUMPRODUCT($J$62:CN$62,$J14:CN14)&lt;0.5, "Pending", IF(CN14&lt;0.5, "Complete", "In Progress"))</f>
        <v>Complete</v>
      </c>
      <c r="CP14" s="22">
        <v>0</v>
      </c>
      <c r="CQ14" s="22">
        <f t="shared" si="39"/>
        <v>0</v>
      </c>
      <c r="CR14" s="23" t="str">
        <f>IF(SUMPRODUCT($J$62:CQ$62,$J14:CQ14)&lt;0.5, "Pending", IF(CQ14&lt;0.5, "Complete", "In Progress"))</f>
        <v>Complete</v>
      </c>
      <c r="CS14" s="22">
        <v>0</v>
      </c>
      <c r="CT14" s="22">
        <f t="shared" si="40"/>
        <v>0</v>
      </c>
      <c r="CU14" s="23" t="str">
        <f>IF(SUMPRODUCT($J$62:CT$62,$J14:CT14)&lt;0.5, "Pending", IF(CT14&lt;0.5, "Complete", "In Progress"))</f>
        <v>Complete</v>
      </c>
      <c r="CV14" s="22">
        <v>0</v>
      </c>
      <c r="CW14" s="22">
        <f t="shared" si="1"/>
        <v>0</v>
      </c>
      <c r="CX14" s="23" t="str">
        <f>IF(SUMPRODUCT($J$62:CW$62,$J14:CW14)&lt;0.5, "Pending", IF(CW14&lt;0.5, "Complete", "In Progress"))</f>
        <v>Complete</v>
      </c>
      <c r="CY14" s="22">
        <v>0</v>
      </c>
      <c r="CZ14" s="22">
        <f t="shared" si="2"/>
        <v>0</v>
      </c>
      <c r="DA14" s="23" t="str">
        <f>IF(SUMPRODUCT($J$62:CZ$62,$J14:CZ14)&lt;0.5, "Pending", IF(CZ14&lt;0.5, "Complete", "In Progress"))</f>
        <v>Complete</v>
      </c>
      <c r="DB14" s="22">
        <v>0</v>
      </c>
      <c r="DC14" s="22">
        <f t="shared" si="3"/>
        <v>0</v>
      </c>
      <c r="DD14" s="23" t="str">
        <f>IF(SUMPRODUCT($J$62:DC$62,$J14:DC14)&lt;0.5, "Pending", IF(DC14&lt;0.5, "Complete", "In Progress"))</f>
        <v>Complete</v>
      </c>
      <c r="DE14" s="22">
        <v>0</v>
      </c>
      <c r="DF14" s="22">
        <f t="shared" si="4"/>
        <v>0</v>
      </c>
      <c r="DG14" s="23" t="str">
        <f>IF(SUMPRODUCT($J$62:DF$62,$J14:DF14)&lt;0.5, "Pending", IF(DF14&lt;0.5, "Complete", "In Progress"))</f>
        <v>Complete</v>
      </c>
      <c r="DH14" s="22">
        <v>0</v>
      </c>
      <c r="DI14" s="22">
        <f t="shared" si="5"/>
        <v>0</v>
      </c>
      <c r="DJ14" s="23" t="str">
        <f>IF(SUMPRODUCT($J$62:DI$62,$J14:DI14)&lt;0.5, "Pending", IF(DI14&lt;0.5, "Complete", "In Progress"))</f>
        <v>Complete</v>
      </c>
      <c r="DK14" s="22">
        <v>0</v>
      </c>
      <c r="DL14" s="22">
        <f t="shared" si="6"/>
        <v>0</v>
      </c>
      <c r="DM14" s="23" t="str">
        <f>IF(SUMPRODUCT($J$62:DL$62,$J14:DL14)&lt;0.5, "Pending", IF(DL14&lt;0.5, "Complete", "In Progress"))</f>
        <v>Complete</v>
      </c>
      <c r="DN14" s="22">
        <v>0</v>
      </c>
      <c r="DO14" s="22">
        <f t="shared" si="7"/>
        <v>0</v>
      </c>
      <c r="DP14" s="23" t="str">
        <f>IF(SUMPRODUCT($J$62:DO$62,$J14:DO14)&lt;0.5, "Pending", IF(DO14&lt;0.5, "Complete", "In Progress"))</f>
        <v>Complete</v>
      </c>
      <c r="DQ14" s="22">
        <v>0</v>
      </c>
      <c r="DR14" s="22">
        <f t="shared" si="8"/>
        <v>0</v>
      </c>
      <c r="DS14" s="23" t="str">
        <f>IF(SUMPRODUCT($J$62:DR$62,$J14:DR14)&lt;0.5, "Pending", IF(DR14&lt;0.5, "Complete", "In Progress"))</f>
        <v>Complete</v>
      </c>
      <c r="DT14" s="22">
        <v>0</v>
      </c>
      <c r="DU14" s="22">
        <f t="shared" si="9"/>
        <v>0</v>
      </c>
      <c r="DV14" s="23" t="str">
        <f>IF(SUMPRODUCT($J$62:DU$62,$J14:DU14)&lt;0.5, "Pending", IF(DU14&lt;0.5, "Complete", "In Progress"))</f>
        <v>Complete</v>
      </c>
      <c r="DW14" s="22">
        <v>0</v>
      </c>
      <c r="DX14" s="22">
        <f t="shared" si="10"/>
        <v>0</v>
      </c>
      <c r="DY14" s="23" t="str">
        <f>IF(SUMPRODUCT($J$62:DX$62,$J14:DX14)&lt;0.5, "Pending", IF(DX14&lt;0.5, "Complete", "In Progress"))</f>
        <v>Complete</v>
      </c>
      <c r="DZ14" s="24"/>
      <c r="EA14" s="25">
        <f>SUMPRODUCT($H$62:DG$62,$H14:DG14)</f>
        <v>4</v>
      </c>
    </row>
    <row r="15" spans="1:131" x14ac:dyDescent="0.25">
      <c r="A15" s="16" t="s">
        <v>119</v>
      </c>
      <c r="B15" s="16" t="s">
        <v>136</v>
      </c>
      <c r="C15" s="16" t="s">
        <v>121</v>
      </c>
      <c r="D15" s="17">
        <v>4</v>
      </c>
      <c r="E15" s="199" t="s">
        <v>137</v>
      </c>
      <c r="F15" s="18" t="s">
        <v>134</v>
      </c>
      <c r="G15" s="19" t="str">
        <f t="shared" ca="1" si="0"/>
        <v>Complete</v>
      </c>
      <c r="H15" s="20">
        <v>1</v>
      </c>
      <c r="I15" s="21">
        <v>4</v>
      </c>
      <c r="J15" s="22">
        <v>4</v>
      </c>
      <c r="K15" s="22">
        <f t="shared" si="11"/>
        <v>0</v>
      </c>
      <c r="L15" s="23" t="str">
        <f>IF(SUMPRODUCT($J$62:K$62,$J15:K15)&lt;0.5, "Pending", IF(K15&lt;0.5, "Complete", "In Progress"))</f>
        <v>Complete</v>
      </c>
      <c r="M15" s="22">
        <v>0</v>
      </c>
      <c r="N15" s="22">
        <f t="shared" si="12"/>
        <v>0</v>
      </c>
      <c r="O15" s="23" t="str">
        <f>IF(SUMPRODUCT($J$62:N$62,$J15:N15)&lt;0.5, "Pending", IF(N15&lt;0.5, "Complete", "In Progress"))</f>
        <v>Complete</v>
      </c>
      <c r="P15" s="22">
        <v>0</v>
      </c>
      <c r="Q15" s="22">
        <f t="shared" si="13"/>
        <v>0</v>
      </c>
      <c r="R15" s="23" t="str">
        <f>IF(SUMPRODUCT($J$62:Q$62,$J15:Q15)&lt;0.5, "Pending", IF(Q15&lt;0.5, "Complete", "In Progress"))</f>
        <v>Complete</v>
      </c>
      <c r="S15" s="22">
        <v>0</v>
      </c>
      <c r="T15" s="22">
        <f t="shared" si="14"/>
        <v>0</v>
      </c>
      <c r="U15" s="23" t="str">
        <f>IF(SUMPRODUCT($J$62:T$62,$J15:T15)&lt;0.5, "Pending", IF(T15&lt;0.5, "Complete", "In Progress"))</f>
        <v>Complete</v>
      </c>
      <c r="V15" s="22">
        <v>0</v>
      </c>
      <c r="W15" s="22">
        <f t="shared" si="15"/>
        <v>0</v>
      </c>
      <c r="X15" s="23" t="str">
        <f>IF(SUMPRODUCT($J$62:W$62,$J15:W15)&lt;0.5, "Pending", IF(W15&lt;0.5, "Complete", "In Progress"))</f>
        <v>Complete</v>
      </c>
      <c r="Y15" s="22">
        <v>0</v>
      </c>
      <c r="Z15" s="22">
        <f t="shared" si="16"/>
        <v>0</v>
      </c>
      <c r="AA15" s="23" t="str">
        <f>IF(SUMPRODUCT($J$62:Z$62,$J15:Z15)&lt;0.5, "Pending", IF(Z15&lt;0.5, "Complete", "In Progress"))</f>
        <v>Complete</v>
      </c>
      <c r="AB15" s="22">
        <v>0</v>
      </c>
      <c r="AC15" s="22">
        <f t="shared" si="17"/>
        <v>0</v>
      </c>
      <c r="AD15" s="23" t="str">
        <f>IF(SUMPRODUCT($J$62:AC$62,$J15:AC15)&lt;0.5, "Pending", IF(AC15&lt;0.5, "Complete", "In Progress"))</f>
        <v>Complete</v>
      </c>
      <c r="AE15" s="22">
        <v>0</v>
      </c>
      <c r="AF15" s="22">
        <f t="shared" si="18"/>
        <v>0</v>
      </c>
      <c r="AG15" s="23" t="str">
        <f>IF(SUMPRODUCT($J$62:AF$62,$J15:AF15)&lt;0.5, "Pending", IF(AF15&lt;0.5, "Complete", "In Progress"))</f>
        <v>Complete</v>
      </c>
      <c r="AH15" s="22">
        <v>0</v>
      </c>
      <c r="AI15" s="22">
        <f t="shared" si="19"/>
        <v>0</v>
      </c>
      <c r="AJ15" s="23" t="str">
        <f>IF(SUMPRODUCT($J$62:AI$62,$J15:AI15)&lt;0.5, "Pending", IF(AI15&lt;0.5, "Complete", "In Progress"))</f>
        <v>Complete</v>
      </c>
      <c r="AK15" s="22">
        <v>0</v>
      </c>
      <c r="AL15" s="22">
        <f t="shared" si="20"/>
        <v>0</v>
      </c>
      <c r="AM15" s="23" t="str">
        <f>IF(SUMPRODUCT($J$62:AL$62,$J15:AL15)&lt;0.5, "Pending", IF(AL15&lt;0.5, "Complete", "In Progress"))</f>
        <v>Complete</v>
      </c>
      <c r="AN15" s="22">
        <v>0</v>
      </c>
      <c r="AO15" s="22">
        <f t="shared" si="21"/>
        <v>0</v>
      </c>
      <c r="AP15" s="23" t="str">
        <f>IF(SUMPRODUCT($J$62:AO$62,$J15:AO15)&lt;0.5, "Pending", IF(AO15&lt;0.5, "Complete", "In Progress"))</f>
        <v>Complete</v>
      </c>
      <c r="AQ15" s="22">
        <v>0</v>
      </c>
      <c r="AR15" s="22">
        <f t="shared" si="22"/>
        <v>0</v>
      </c>
      <c r="AS15" s="23" t="str">
        <f>IF(SUMPRODUCT($J$62:AR$62,$J15:AR15)&lt;0.5, "Pending", IF(AR15&lt;0.5, "Complete", "In Progress"))</f>
        <v>Complete</v>
      </c>
      <c r="AT15" s="22">
        <v>0</v>
      </c>
      <c r="AU15" s="22">
        <f t="shared" si="23"/>
        <v>0</v>
      </c>
      <c r="AV15" s="23" t="str">
        <f>IF(SUMPRODUCT($J$62:AU$62,$J15:AU15)&lt;0.5, "Pending", IF(AU15&lt;0.5, "Complete", "In Progress"))</f>
        <v>Complete</v>
      </c>
      <c r="AW15" s="22">
        <v>0</v>
      </c>
      <c r="AX15" s="22">
        <f t="shared" si="24"/>
        <v>0</v>
      </c>
      <c r="AY15" s="23" t="str">
        <f>IF(SUMPRODUCT($J$62:AX$62,$J15:AX15)&lt;0.5, "Pending", IF(AX15&lt;0.5, "Complete", "In Progress"))</f>
        <v>Complete</v>
      </c>
      <c r="AZ15" s="22">
        <v>0</v>
      </c>
      <c r="BA15" s="22">
        <f t="shared" si="25"/>
        <v>0</v>
      </c>
      <c r="BB15" s="23" t="str">
        <f>IF(SUMPRODUCT($J$62:BA$62,$J15:BA15)&lt;0.5, "Pending", IF(BA15&lt;0.5, "Complete", "In Progress"))</f>
        <v>Complete</v>
      </c>
      <c r="BC15" s="22">
        <v>0</v>
      </c>
      <c r="BD15" s="22">
        <f t="shared" si="26"/>
        <v>0</v>
      </c>
      <c r="BE15" s="23" t="str">
        <f>IF(SUMPRODUCT($J$62:BD$62,$J15:BD15)&lt;0.5, "Pending", IF(BD15&lt;0.5, "Complete", "In Progress"))</f>
        <v>Complete</v>
      </c>
      <c r="BF15" s="22">
        <v>0</v>
      </c>
      <c r="BG15" s="22">
        <f t="shared" si="27"/>
        <v>0</v>
      </c>
      <c r="BH15" s="23" t="str">
        <f>IF(SUMPRODUCT($J$62:BG$62,$J15:BG15)&lt;0.5, "Pending", IF(BG15&lt;0.5, "Complete", "In Progress"))</f>
        <v>Complete</v>
      </c>
      <c r="BI15" s="22">
        <v>0</v>
      </c>
      <c r="BJ15" s="22">
        <f t="shared" si="28"/>
        <v>0</v>
      </c>
      <c r="BK15" s="23" t="str">
        <f>IF(SUMPRODUCT($J$62:BJ$62,$J15:BJ15)&lt;0.5, "Pending", IF(BJ15&lt;0.5, "Complete", "In Progress"))</f>
        <v>Complete</v>
      </c>
      <c r="BL15" s="22">
        <v>0</v>
      </c>
      <c r="BM15" s="22">
        <f t="shared" si="29"/>
        <v>0</v>
      </c>
      <c r="BN15" s="23" t="str">
        <f>IF(SUMPRODUCT($J$62:BM$62,$J15:BM15)&lt;0.5, "Pending", IF(BM15&lt;0.5, "Complete", "In Progress"))</f>
        <v>Complete</v>
      </c>
      <c r="BO15" s="22">
        <v>0</v>
      </c>
      <c r="BP15" s="22">
        <f t="shared" si="30"/>
        <v>0</v>
      </c>
      <c r="BQ15" s="23" t="str">
        <f>IF(SUMPRODUCT($J$62:BP$62,$J15:BP15)&lt;0.5, "Pending", IF(BP15&lt;0.5, "Complete", "In Progress"))</f>
        <v>Complete</v>
      </c>
      <c r="BR15" s="22">
        <v>0</v>
      </c>
      <c r="BS15" s="22">
        <f t="shared" si="31"/>
        <v>0</v>
      </c>
      <c r="BT15" s="23" t="str">
        <f>IF(SUMPRODUCT($J$62:BS$62,$J15:BS15)&lt;0.5, "Pending", IF(BS15&lt;0.5, "Complete", "In Progress"))</f>
        <v>Complete</v>
      </c>
      <c r="BU15" s="22">
        <v>0</v>
      </c>
      <c r="BV15" s="22">
        <f t="shared" si="32"/>
        <v>0</v>
      </c>
      <c r="BW15" s="23" t="str">
        <f>IF(SUMPRODUCT($J$62:BV$62,$J15:BV15)&lt;0.5, "Pending", IF(BV15&lt;0.5, "Complete", "In Progress"))</f>
        <v>Complete</v>
      </c>
      <c r="BX15" s="22">
        <v>0</v>
      </c>
      <c r="BY15" s="22">
        <f t="shared" si="33"/>
        <v>0</v>
      </c>
      <c r="BZ15" s="23" t="str">
        <f>IF(SUMPRODUCT($J$62:BY$62,$J15:BY15)&lt;0.5, "Pending", IF(BY15&lt;0.5, "Complete", "In Progress"))</f>
        <v>Complete</v>
      </c>
      <c r="CA15" s="22">
        <v>0</v>
      </c>
      <c r="CB15" s="22">
        <f t="shared" si="34"/>
        <v>0</v>
      </c>
      <c r="CC15" s="23" t="str">
        <f>IF(SUMPRODUCT($J$62:CB$62,$J15:CB15)&lt;0.5, "Pending", IF(CB15&lt;0.5, "Complete", "In Progress"))</f>
        <v>Complete</v>
      </c>
      <c r="CD15" s="22">
        <v>0</v>
      </c>
      <c r="CE15" s="22">
        <f t="shared" si="35"/>
        <v>0</v>
      </c>
      <c r="CF15" s="23" t="str">
        <f>IF(SUMPRODUCT($J$62:CE$62,$J15:CE15)&lt;0.5, "Pending", IF(CE15&lt;0.5, "Complete", "In Progress"))</f>
        <v>Complete</v>
      </c>
      <c r="CG15" s="22">
        <v>0</v>
      </c>
      <c r="CH15" s="22">
        <f t="shared" si="36"/>
        <v>0</v>
      </c>
      <c r="CI15" s="23" t="str">
        <f>IF(SUMPRODUCT($J$62:CH$62,$J15:CH15)&lt;0.5, "Pending", IF(CH15&lt;0.5, "Complete", "In Progress"))</f>
        <v>Complete</v>
      </c>
      <c r="CJ15" s="22">
        <v>0</v>
      </c>
      <c r="CK15" s="22">
        <f t="shared" si="37"/>
        <v>0</v>
      </c>
      <c r="CL15" s="23" t="str">
        <f>IF(SUMPRODUCT($J$62:CK$62,$J15:CK15)&lt;0.5, "Pending", IF(CK15&lt;0.5, "Complete", "In Progress"))</f>
        <v>Complete</v>
      </c>
      <c r="CM15" s="22">
        <v>0</v>
      </c>
      <c r="CN15" s="22">
        <f t="shared" si="38"/>
        <v>0</v>
      </c>
      <c r="CO15" s="23" t="str">
        <f>IF(SUMPRODUCT($J$62:CN$62,$J15:CN15)&lt;0.5, "Pending", IF(CN15&lt;0.5, "Complete", "In Progress"))</f>
        <v>Complete</v>
      </c>
      <c r="CP15" s="22">
        <v>0</v>
      </c>
      <c r="CQ15" s="22">
        <f t="shared" si="39"/>
        <v>0</v>
      </c>
      <c r="CR15" s="23" t="str">
        <f>IF(SUMPRODUCT($J$62:CQ$62,$J15:CQ15)&lt;0.5, "Pending", IF(CQ15&lt;0.5, "Complete", "In Progress"))</f>
        <v>Complete</v>
      </c>
      <c r="CS15" s="22">
        <v>0</v>
      </c>
      <c r="CT15" s="22">
        <f t="shared" si="40"/>
        <v>0</v>
      </c>
      <c r="CU15" s="23" t="str">
        <f>IF(SUMPRODUCT($J$62:CT$62,$J15:CT15)&lt;0.5, "Pending", IF(CT15&lt;0.5, "Complete", "In Progress"))</f>
        <v>Complete</v>
      </c>
      <c r="CV15" s="22">
        <v>0</v>
      </c>
      <c r="CW15" s="22">
        <f t="shared" si="1"/>
        <v>0</v>
      </c>
      <c r="CX15" s="23" t="str">
        <f>IF(SUMPRODUCT($J$62:CW$62,$J15:CW15)&lt;0.5, "Pending", IF(CW15&lt;0.5, "Complete", "In Progress"))</f>
        <v>Complete</v>
      </c>
      <c r="CY15" s="22">
        <v>0</v>
      </c>
      <c r="CZ15" s="22">
        <f t="shared" si="2"/>
        <v>0</v>
      </c>
      <c r="DA15" s="23" t="str">
        <f>IF(SUMPRODUCT($J$62:CZ$62,$J15:CZ15)&lt;0.5, "Pending", IF(CZ15&lt;0.5, "Complete", "In Progress"))</f>
        <v>Complete</v>
      </c>
      <c r="DB15" s="22">
        <v>0</v>
      </c>
      <c r="DC15" s="22">
        <f t="shared" si="3"/>
        <v>0</v>
      </c>
      <c r="DD15" s="23" t="str">
        <f>IF(SUMPRODUCT($J$62:DC$62,$J15:DC15)&lt;0.5, "Pending", IF(DC15&lt;0.5, "Complete", "In Progress"))</f>
        <v>Complete</v>
      </c>
      <c r="DE15" s="22">
        <v>0</v>
      </c>
      <c r="DF15" s="22">
        <f t="shared" si="4"/>
        <v>0</v>
      </c>
      <c r="DG15" s="23" t="str">
        <f>IF(SUMPRODUCT($J$62:DF$62,$J15:DF15)&lt;0.5, "Pending", IF(DF15&lt;0.5, "Complete", "In Progress"))</f>
        <v>Complete</v>
      </c>
      <c r="DH15" s="22">
        <v>0</v>
      </c>
      <c r="DI15" s="22">
        <f t="shared" si="5"/>
        <v>0</v>
      </c>
      <c r="DJ15" s="23" t="str">
        <f>IF(SUMPRODUCT($J$62:DI$62,$J15:DI15)&lt;0.5, "Pending", IF(DI15&lt;0.5, "Complete", "In Progress"))</f>
        <v>Complete</v>
      </c>
      <c r="DK15" s="22">
        <v>0</v>
      </c>
      <c r="DL15" s="22">
        <f t="shared" si="6"/>
        <v>0</v>
      </c>
      <c r="DM15" s="23" t="str">
        <f>IF(SUMPRODUCT($J$62:DL$62,$J15:DL15)&lt;0.5, "Pending", IF(DL15&lt;0.5, "Complete", "In Progress"))</f>
        <v>Complete</v>
      </c>
      <c r="DN15" s="22">
        <v>0</v>
      </c>
      <c r="DO15" s="22">
        <f t="shared" si="7"/>
        <v>0</v>
      </c>
      <c r="DP15" s="23" t="str">
        <f>IF(SUMPRODUCT($J$62:DO$62,$J15:DO15)&lt;0.5, "Pending", IF(DO15&lt;0.5, "Complete", "In Progress"))</f>
        <v>Complete</v>
      </c>
      <c r="DQ15" s="22">
        <v>0</v>
      </c>
      <c r="DR15" s="22">
        <f t="shared" si="8"/>
        <v>0</v>
      </c>
      <c r="DS15" s="23" t="str">
        <f>IF(SUMPRODUCT($J$62:DR$62,$J15:DR15)&lt;0.5, "Pending", IF(DR15&lt;0.5, "Complete", "In Progress"))</f>
        <v>Complete</v>
      </c>
      <c r="DT15" s="22">
        <v>0</v>
      </c>
      <c r="DU15" s="22">
        <f t="shared" si="9"/>
        <v>0</v>
      </c>
      <c r="DV15" s="23" t="str">
        <f>IF(SUMPRODUCT($J$62:DU$62,$J15:DU15)&lt;0.5, "Pending", IF(DU15&lt;0.5, "Complete", "In Progress"))</f>
        <v>Complete</v>
      </c>
      <c r="DW15" s="22">
        <v>0</v>
      </c>
      <c r="DX15" s="22">
        <f t="shared" si="10"/>
        <v>0</v>
      </c>
      <c r="DY15" s="23" t="str">
        <f>IF(SUMPRODUCT($J$62:DX$62,$J15:DX15)&lt;0.5, "Pending", IF(DX15&lt;0.5, "Complete", "In Progress"))</f>
        <v>Complete</v>
      </c>
      <c r="DZ15" s="24"/>
      <c r="EA15" s="25">
        <f>SUMPRODUCT($H$62:DG$62,$H15:DG15)</f>
        <v>4</v>
      </c>
    </row>
    <row r="16" spans="1:131" x14ac:dyDescent="0.25">
      <c r="A16" s="16" t="s">
        <v>138</v>
      </c>
      <c r="B16" s="16" t="s">
        <v>136</v>
      </c>
      <c r="C16" s="16" t="s">
        <v>121</v>
      </c>
      <c r="D16" s="17">
        <v>4</v>
      </c>
      <c r="E16" s="199" t="s">
        <v>139</v>
      </c>
      <c r="F16" s="18" t="s">
        <v>129</v>
      </c>
      <c r="G16" s="19" t="str">
        <f t="shared" ca="1" si="0"/>
        <v>Complete</v>
      </c>
      <c r="H16" s="20">
        <v>1</v>
      </c>
      <c r="I16" s="21">
        <v>4</v>
      </c>
      <c r="J16" s="22">
        <v>4</v>
      </c>
      <c r="K16" s="22">
        <f t="shared" si="11"/>
        <v>0</v>
      </c>
      <c r="L16" s="23" t="str">
        <f>IF(SUMPRODUCT($J$62:K$62,$J16:K16)&lt;0.5, "Pending", IF(K16&lt;0.5, "Complete", "In Progress"))</f>
        <v>Complete</v>
      </c>
      <c r="M16" s="22">
        <v>0</v>
      </c>
      <c r="N16" s="22">
        <f t="shared" si="12"/>
        <v>0</v>
      </c>
      <c r="O16" s="23" t="str">
        <f>IF(SUMPRODUCT($J$62:N$62,$J16:N16)&lt;0.5, "Pending", IF(N16&lt;0.5, "Complete", "In Progress"))</f>
        <v>Complete</v>
      </c>
      <c r="P16" s="22">
        <v>0</v>
      </c>
      <c r="Q16" s="22">
        <f t="shared" si="13"/>
        <v>0</v>
      </c>
      <c r="R16" s="23" t="str">
        <f>IF(SUMPRODUCT($J$62:Q$62,$J16:Q16)&lt;0.5, "Pending", IF(Q16&lt;0.5, "Complete", "In Progress"))</f>
        <v>Complete</v>
      </c>
      <c r="S16" s="22">
        <v>0</v>
      </c>
      <c r="T16" s="22">
        <f t="shared" si="14"/>
        <v>0</v>
      </c>
      <c r="U16" s="23" t="str">
        <f>IF(SUMPRODUCT($J$62:T$62,$J16:T16)&lt;0.5, "Pending", IF(T16&lt;0.5, "Complete", "In Progress"))</f>
        <v>Complete</v>
      </c>
      <c r="V16" s="22">
        <v>0</v>
      </c>
      <c r="W16" s="22">
        <f t="shared" si="15"/>
        <v>0</v>
      </c>
      <c r="X16" s="23" t="str">
        <f>IF(SUMPRODUCT($J$62:W$62,$J16:W16)&lt;0.5, "Pending", IF(W16&lt;0.5, "Complete", "In Progress"))</f>
        <v>Complete</v>
      </c>
      <c r="Y16" s="22">
        <v>0</v>
      </c>
      <c r="Z16" s="22">
        <f t="shared" si="16"/>
        <v>0</v>
      </c>
      <c r="AA16" s="23" t="str">
        <f>IF(SUMPRODUCT($J$62:Z$62,$J16:Z16)&lt;0.5, "Pending", IF(Z16&lt;0.5, "Complete", "In Progress"))</f>
        <v>Complete</v>
      </c>
      <c r="AB16" s="22">
        <v>0</v>
      </c>
      <c r="AC16" s="22">
        <f t="shared" si="17"/>
        <v>0</v>
      </c>
      <c r="AD16" s="23" t="str">
        <f>IF(SUMPRODUCT($J$62:AC$62,$J16:AC16)&lt;0.5, "Pending", IF(AC16&lt;0.5, "Complete", "In Progress"))</f>
        <v>Complete</v>
      </c>
      <c r="AE16" s="22">
        <v>0</v>
      </c>
      <c r="AF16" s="22">
        <f t="shared" si="18"/>
        <v>0</v>
      </c>
      <c r="AG16" s="23" t="str">
        <f>IF(SUMPRODUCT($J$62:AF$62,$J16:AF16)&lt;0.5, "Pending", IF(AF16&lt;0.5, "Complete", "In Progress"))</f>
        <v>Complete</v>
      </c>
      <c r="AH16" s="22">
        <v>0</v>
      </c>
      <c r="AI16" s="22">
        <f t="shared" si="19"/>
        <v>0</v>
      </c>
      <c r="AJ16" s="23" t="str">
        <f>IF(SUMPRODUCT($J$62:AI$62,$J16:AI16)&lt;0.5, "Pending", IF(AI16&lt;0.5, "Complete", "In Progress"))</f>
        <v>Complete</v>
      </c>
      <c r="AK16" s="22">
        <v>0</v>
      </c>
      <c r="AL16" s="22">
        <f t="shared" si="20"/>
        <v>0</v>
      </c>
      <c r="AM16" s="23" t="str">
        <f>IF(SUMPRODUCT($J$62:AL$62,$J16:AL16)&lt;0.5, "Pending", IF(AL16&lt;0.5, "Complete", "In Progress"))</f>
        <v>Complete</v>
      </c>
      <c r="AN16" s="22">
        <v>0</v>
      </c>
      <c r="AO16" s="22">
        <f t="shared" si="21"/>
        <v>0</v>
      </c>
      <c r="AP16" s="23" t="str">
        <f>IF(SUMPRODUCT($J$62:AO$62,$J16:AO16)&lt;0.5, "Pending", IF(AO16&lt;0.5, "Complete", "In Progress"))</f>
        <v>Complete</v>
      </c>
      <c r="AQ16" s="22">
        <v>0</v>
      </c>
      <c r="AR16" s="22">
        <f t="shared" si="22"/>
        <v>0</v>
      </c>
      <c r="AS16" s="23" t="str">
        <f>IF(SUMPRODUCT($J$62:AR$62,$J16:AR16)&lt;0.5, "Pending", IF(AR16&lt;0.5, "Complete", "In Progress"))</f>
        <v>Complete</v>
      </c>
      <c r="AT16" s="22">
        <v>0</v>
      </c>
      <c r="AU16" s="22">
        <f t="shared" si="23"/>
        <v>0</v>
      </c>
      <c r="AV16" s="23" t="str">
        <f>IF(SUMPRODUCT($J$62:AU$62,$J16:AU16)&lt;0.5, "Pending", IF(AU16&lt;0.5, "Complete", "In Progress"))</f>
        <v>Complete</v>
      </c>
      <c r="AW16" s="22">
        <v>0</v>
      </c>
      <c r="AX16" s="22">
        <f t="shared" si="24"/>
        <v>0</v>
      </c>
      <c r="AY16" s="23" t="str">
        <f>IF(SUMPRODUCT($J$62:AX$62,$J16:AX16)&lt;0.5, "Pending", IF(AX16&lt;0.5, "Complete", "In Progress"))</f>
        <v>Complete</v>
      </c>
      <c r="AZ16" s="22">
        <v>0</v>
      </c>
      <c r="BA16" s="22">
        <f t="shared" si="25"/>
        <v>0</v>
      </c>
      <c r="BB16" s="23" t="str">
        <f>IF(SUMPRODUCT($J$62:BA$62,$J16:BA16)&lt;0.5, "Pending", IF(BA16&lt;0.5, "Complete", "In Progress"))</f>
        <v>Complete</v>
      </c>
      <c r="BC16" s="22">
        <v>0</v>
      </c>
      <c r="BD16" s="22">
        <f t="shared" si="26"/>
        <v>0</v>
      </c>
      <c r="BE16" s="23" t="str">
        <f>IF(SUMPRODUCT($J$62:BD$62,$J16:BD16)&lt;0.5, "Pending", IF(BD16&lt;0.5, "Complete", "In Progress"))</f>
        <v>Complete</v>
      </c>
      <c r="BF16" s="22">
        <v>0</v>
      </c>
      <c r="BG16" s="22">
        <f t="shared" si="27"/>
        <v>0</v>
      </c>
      <c r="BH16" s="23" t="str">
        <f>IF(SUMPRODUCT($J$62:BG$62,$J16:BG16)&lt;0.5, "Pending", IF(BG16&lt;0.5, "Complete", "In Progress"))</f>
        <v>Complete</v>
      </c>
      <c r="BI16" s="22">
        <v>0</v>
      </c>
      <c r="BJ16" s="22">
        <f t="shared" si="28"/>
        <v>0</v>
      </c>
      <c r="BK16" s="23" t="str">
        <f>IF(SUMPRODUCT($J$62:BJ$62,$J16:BJ16)&lt;0.5, "Pending", IF(BJ16&lt;0.5, "Complete", "In Progress"))</f>
        <v>Complete</v>
      </c>
      <c r="BL16" s="22">
        <v>0</v>
      </c>
      <c r="BM16" s="22">
        <f t="shared" si="29"/>
        <v>0</v>
      </c>
      <c r="BN16" s="23" t="str">
        <f>IF(SUMPRODUCT($J$62:BM$62,$J16:BM16)&lt;0.5, "Pending", IF(BM16&lt;0.5, "Complete", "In Progress"))</f>
        <v>Complete</v>
      </c>
      <c r="BO16" s="22">
        <v>0</v>
      </c>
      <c r="BP16" s="22">
        <f t="shared" si="30"/>
        <v>0</v>
      </c>
      <c r="BQ16" s="23" t="str">
        <f>IF(SUMPRODUCT($J$62:BP$62,$J16:BP16)&lt;0.5, "Pending", IF(BP16&lt;0.5, "Complete", "In Progress"))</f>
        <v>Complete</v>
      </c>
      <c r="BR16" s="22">
        <v>0</v>
      </c>
      <c r="BS16" s="22">
        <f t="shared" si="31"/>
        <v>0</v>
      </c>
      <c r="BT16" s="23" t="str">
        <f>IF(SUMPRODUCT($J$62:BS$62,$J16:BS16)&lt;0.5, "Pending", IF(BS16&lt;0.5, "Complete", "In Progress"))</f>
        <v>Complete</v>
      </c>
      <c r="BU16" s="22">
        <v>0</v>
      </c>
      <c r="BV16" s="22">
        <f t="shared" si="32"/>
        <v>0</v>
      </c>
      <c r="BW16" s="23" t="str">
        <f>IF(SUMPRODUCT($J$62:BV$62,$J16:BV16)&lt;0.5, "Pending", IF(BV16&lt;0.5, "Complete", "In Progress"))</f>
        <v>Complete</v>
      </c>
      <c r="BX16" s="22">
        <v>0</v>
      </c>
      <c r="BY16" s="22">
        <f t="shared" si="33"/>
        <v>0</v>
      </c>
      <c r="BZ16" s="23" t="str">
        <f>IF(SUMPRODUCT($J$62:BY$62,$J16:BY16)&lt;0.5, "Pending", IF(BY16&lt;0.5, "Complete", "In Progress"))</f>
        <v>Complete</v>
      </c>
      <c r="CA16" s="22">
        <v>0</v>
      </c>
      <c r="CB16" s="22">
        <f t="shared" si="34"/>
        <v>0</v>
      </c>
      <c r="CC16" s="23" t="str">
        <f>IF(SUMPRODUCT($J$62:CB$62,$J16:CB16)&lt;0.5, "Pending", IF(CB16&lt;0.5, "Complete", "In Progress"))</f>
        <v>Complete</v>
      </c>
      <c r="CD16" s="22">
        <v>0</v>
      </c>
      <c r="CE16" s="22">
        <f t="shared" si="35"/>
        <v>0</v>
      </c>
      <c r="CF16" s="23" t="str">
        <f>IF(SUMPRODUCT($J$62:CE$62,$J16:CE16)&lt;0.5, "Pending", IF(CE16&lt;0.5, "Complete", "In Progress"))</f>
        <v>Complete</v>
      </c>
      <c r="CG16" s="22">
        <v>0</v>
      </c>
      <c r="CH16" s="22">
        <f t="shared" si="36"/>
        <v>0</v>
      </c>
      <c r="CI16" s="23" t="str">
        <f>IF(SUMPRODUCT($J$62:CH$62,$J16:CH16)&lt;0.5, "Pending", IF(CH16&lt;0.5, "Complete", "In Progress"))</f>
        <v>Complete</v>
      </c>
      <c r="CJ16" s="22">
        <v>0</v>
      </c>
      <c r="CK16" s="22">
        <f t="shared" si="37"/>
        <v>0</v>
      </c>
      <c r="CL16" s="23" t="str">
        <f>IF(SUMPRODUCT($J$62:CK$62,$J16:CK16)&lt;0.5, "Pending", IF(CK16&lt;0.5, "Complete", "In Progress"))</f>
        <v>Complete</v>
      </c>
      <c r="CM16" s="22">
        <v>0</v>
      </c>
      <c r="CN16" s="22">
        <f t="shared" si="38"/>
        <v>0</v>
      </c>
      <c r="CO16" s="23" t="str">
        <f>IF(SUMPRODUCT($J$62:CN$62,$J16:CN16)&lt;0.5, "Pending", IF(CN16&lt;0.5, "Complete", "In Progress"))</f>
        <v>Complete</v>
      </c>
      <c r="CP16" s="22">
        <v>0</v>
      </c>
      <c r="CQ16" s="22">
        <f t="shared" si="39"/>
        <v>0</v>
      </c>
      <c r="CR16" s="23" t="str">
        <f>IF(SUMPRODUCT($J$62:CQ$62,$J16:CQ16)&lt;0.5, "Pending", IF(CQ16&lt;0.5, "Complete", "In Progress"))</f>
        <v>Complete</v>
      </c>
      <c r="CS16" s="22">
        <v>0</v>
      </c>
      <c r="CT16" s="22">
        <f t="shared" si="40"/>
        <v>0</v>
      </c>
      <c r="CU16" s="23" t="str">
        <f>IF(SUMPRODUCT($J$62:CT$62,$J16:CT16)&lt;0.5, "Pending", IF(CT16&lt;0.5, "Complete", "In Progress"))</f>
        <v>Complete</v>
      </c>
      <c r="CV16" s="22"/>
      <c r="CW16" s="22"/>
      <c r="CX16" s="23"/>
      <c r="CY16" s="22"/>
      <c r="CZ16" s="22"/>
      <c r="DA16" s="23"/>
      <c r="DB16" s="22"/>
      <c r="DC16" s="22"/>
      <c r="DD16" s="23"/>
      <c r="DE16" s="22"/>
      <c r="DF16" s="22"/>
      <c r="DG16" s="23"/>
      <c r="DH16" s="22"/>
      <c r="DI16" s="22"/>
      <c r="DJ16" s="23"/>
      <c r="DK16" s="22"/>
      <c r="DL16" s="22"/>
      <c r="DM16" s="23"/>
      <c r="DN16" s="22"/>
      <c r="DO16" s="22"/>
      <c r="DP16" s="23"/>
      <c r="DQ16" s="22"/>
      <c r="DR16" s="22"/>
      <c r="DS16" s="23"/>
      <c r="DT16" s="22"/>
      <c r="DU16" s="22"/>
      <c r="DV16" s="23"/>
      <c r="DW16" s="22"/>
      <c r="DX16" s="22"/>
      <c r="DY16" s="23"/>
      <c r="DZ16" s="24"/>
      <c r="EA16" s="25">
        <f>SUMPRODUCT($H$62:DG$62,$H16:DG16)</f>
        <v>4</v>
      </c>
    </row>
    <row r="17" spans="1:131" x14ac:dyDescent="0.25">
      <c r="A17" s="16" t="s">
        <v>138</v>
      </c>
      <c r="B17" s="16" t="s">
        <v>136</v>
      </c>
      <c r="C17" s="16" t="s">
        <v>121</v>
      </c>
      <c r="D17" s="17">
        <v>4</v>
      </c>
      <c r="E17" s="199" t="s">
        <v>139</v>
      </c>
      <c r="F17" s="18" t="s">
        <v>134</v>
      </c>
      <c r="G17" s="19" t="str">
        <f t="shared" ca="1" si="0"/>
        <v>Complete</v>
      </c>
      <c r="H17" s="20">
        <v>1</v>
      </c>
      <c r="I17" s="21">
        <v>4</v>
      </c>
      <c r="J17" s="22">
        <v>4</v>
      </c>
      <c r="K17" s="22">
        <f t="shared" si="11"/>
        <v>0</v>
      </c>
      <c r="L17" s="23" t="str">
        <f>IF(SUMPRODUCT($J$62:K$62,$J17:K17)&lt;0.5, "Pending", IF(K17&lt;0.5, "Complete", "In Progress"))</f>
        <v>Complete</v>
      </c>
      <c r="M17" s="22">
        <v>0</v>
      </c>
      <c r="N17" s="22">
        <f t="shared" si="12"/>
        <v>0</v>
      </c>
      <c r="O17" s="23" t="str">
        <f>IF(SUMPRODUCT($J$62:N$62,$J17:N17)&lt;0.5, "Pending", IF(N17&lt;0.5, "Complete", "In Progress"))</f>
        <v>Complete</v>
      </c>
      <c r="P17" s="22">
        <v>0</v>
      </c>
      <c r="Q17" s="22">
        <f t="shared" si="13"/>
        <v>0</v>
      </c>
      <c r="R17" s="23" t="str">
        <f>IF(SUMPRODUCT($J$62:Q$62,$J17:Q17)&lt;0.5, "Pending", IF(Q17&lt;0.5, "Complete", "In Progress"))</f>
        <v>Complete</v>
      </c>
      <c r="S17" s="22">
        <v>0</v>
      </c>
      <c r="T17" s="22">
        <f t="shared" si="14"/>
        <v>0</v>
      </c>
      <c r="U17" s="23" t="str">
        <f>IF(SUMPRODUCT($J$62:T$62,$J17:T17)&lt;0.5, "Pending", IF(T17&lt;0.5, "Complete", "In Progress"))</f>
        <v>Complete</v>
      </c>
      <c r="V17" s="22">
        <v>0</v>
      </c>
      <c r="W17" s="22">
        <f t="shared" si="15"/>
        <v>0</v>
      </c>
      <c r="X17" s="23" t="str">
        <f>IF(SUMPRODUCT($J$62:W$62,$J17:W17)&lt;0.5, "Pending", IF(W17&lt;0.5, "Complete", "In Progress"))</f>
        <v>Complete</v>
      </c>
      <c r="Y17" s="22">
        <v>0</v>
      </c>
      <c r="Z17" s="22">
        <f t="shared" si="16"/>
        <v>0</v>
      </c>
      <c r="AA17" s="23" t="str">
        <f>IF(SUMPRODUCT($J$62:Z$62,$J17:Z17)&lt;0.5, "Pending", IF(Z17&lt;0.5, "Complete", "In Progress"))</f>
        <v>Complete</v>
      </c>
      <c r="AB17" s="22">
        <v>0</v>
      </c>
      <c r="AC17" s="22">
        <f t="shared" si="17"/>
        <v>0</v>
      </c>
      <c r="AD17" s="23" t="str">
        <f>IF(SUMPRODUCT($J$62:AC$62,$J17:AC17)&lt;0.5, "Pending", IF(AC17&lt;0.5, "Complete", "In Progress"))</f>
        <v>Complete</v>
      </c>
      <c r="AE17" s="22">
        <v>0</v>
      </c>
      <c r="AF17" s="22">
        <f t="shared" si="18"/>
        <v>0</v>
      </c>
      <c r="AG17" s="23" t="str">
        <f>IF(SUMPRODUCT($J$62:AF$62,$J17:AF17)&lt;0.5, "Pending", IF(AF17&lt;0.5, "Complete", "In Progress"))</f>
        <v>Complete</v>
      </c>
      <c r="AH17" s="22">
        <v>0</v>
      </c>
      <c r="AI17" s="22">
        <f t="shared" si="19"/>
        <v>0</v>
      </c>
      <c r="AJ17" s="23" t="str">
        <f>IF(SUMPRODUCT($J$62:AI$62,$J17:AI17)&lt;0.5, "Pending", IF(AI17&lt;0.5, "Complete", "In Progress"))</f>
        <v>Complete</v>
      </c>
      <c r="AK17" s="22">
        <v>0</v>
      </c>
      <c r="AL17" s="22">
        <f t="shared" si="20"/>
        <v>0</v>
      </c>
      <c r="AM17" s="23" t="str">
        <f>IF(SUMPRODUCT($J$62:AL$62,$J17:AL17)&lt;0.5, "Pending", IF(AL17&lt;0.5, "Complete", "In Progress"))</f>
        <v>Complete</v>
      </c>
      <c r="AN17" s="22">
        <v>0</v>
      </c>
      <c r="AO17" s="22">
        <f t="shared" si="21"/>
        <v>0</v>
      </c>
      <c r="AP17" s="23" t="str">
        <f>IF(SUMPRODUCT($J$62:AO$62,$J17:AO17)&lt;0.5, "Pending", IF(AO17&lt;0.5, "Complete", "In Progress"))</f>
        <v>Complete</v>
      </c>
      <c r="AQ17" s="22">
        <v>0</v>
      </c>
      <c r="AR17" s="22">
        <f t="shared" si="22"/>
        <v>0</v>
      </c>
      <c r="AS17" s="23" t="str">
        <f>IF(SUMPRODUCT($J$62:AR$62,$J17:AR17)&lt;0.5, "Pending", IF(AR17&lt;0.5, "Complete", "In Progress"))</f>
        <v>Complete</v>
      </c>
      <c r="AT17" s="22">
        <v>0</v>
      </c>
      <c r="AU17" s="22">
        <f t="shared" si="23"/>
        <v>0</v>
      </c>
      <c r="AV17" s="23" t="str">
        <f>IF(SUMPRODUCT($J$62:AU$62,$J17:AU17)&lt;0.5, "Pending", IF(AU17&lt;0.5, "Complete", "In Progress"))</f>
        <v>Complete</v>
      </c>
      <c r="AW17" s="22">
        <v>0</v>
      </c>
      <c r="AX17" s="22">
        <f t="shared" si="24"/>
        <v>0</v>
      </c>
      <c r="AY17" s="23" t="str">
        <f>IF(SUMPRODUCT($J$62:AX$62,$J17:AX17)&lt;0.5, "Pending", IF(AX17&lt;0.5, "Complete", "In Progress"))</f>
        <v>Complete</v>
      </c>
      <c r="AZ17" s="22">
        <v>0</v>
      </c>
      <c r="BA17" s="22">
        <f t="shared" si="25"/>
        <v>0</v>
      </c>
      <c r="BB17" s="23" t="str">
        <f>IF(SUMPRODUCT($J$62:BA$62,$J17:BA17)&lt;0.5, "Pending", IF(BA17&lt;0.5, "Complete", "In Progress"))</f>
        <v>Complete</v>
      </c>
      <c r="BC17" s="22">
        <v>0</v>
      </c>
      <c r="BD17" s="22">
        <f t="shared" si="26"/>
        <v>0</v>
      </c>
      <c r="BE17" s="23" t="str">
        <f>IF(SUMPRODUCT($J$62:BD$62,$J17:BD17)&lt;0.5, "Pending", IF(BD17&lt;0.5, "Complete", "In Progress"))</f>
        <v>Complete</v>
      </c>
      <c r="BF17" s="22">
        <v>0</v>
      </c>
      <c r="BG17" s="22">
        <f t="shared" si="27"/>
        <v>0</v>
      </c>
      <c r="BH17" s="23" t="str">
        <f>IF(SUMPRODUCT($J$62:BG$62,$J17:BG17)&lt;0.5, "Pending", IF(BG17&lt;0.5, "Complete", "In Progress"))</f>
        <v>Complete</v>
      </c>
      <c r="BI17" s="22">
        <v>0</v>
      </c>
      <c r="BJ17" s="22">
        <f t="shared" si="28"/>
        <v>0</v>
      </c>
      <c r="BK17" s="23" t="str">
        <f>IF(SUMPRODUCT($J$62:BJ$62,$J17:BJ17)&lt;0.5, "Pending", IF(BJ17&lt;0.5, "Complete", "In Progress"))</f>
        <v>Complete</v>
      </c>
      <c r="BL17" s="22">
        <v>0</v>
      </c>
      <c r="BM17" s="22">
        <f t="shared" si="29"/>
        <v>0</v>
      </c>
      <c r="BN17" s="23" t="str">
        <f>IF(SUMPRODUCT($J$62:BM$62,$J17:BM17)&lt;0.5, "Pending", IF(BM17&lt;0.5, "Complete", "In Progress"))</f>
        <v>Complete</v>
      </c>
      <c r="BO17" s="22">
        <v>0</v>
      </c>
      <c r="BP17" s="22">
        <f t="shared" si="30"/>
        <v>0</v>
      </c>
      <c r="BQ17" s="23" t="str">
        <f>IF(SUMPRODUCT($J$62:BP$62,$J17:BP17)&lt;0.5, "Pending", IF(BP17&lt;0.5, "Complete", "In Progress"))</f>
        <v>Complete</v>
      </c>
      <c r="BR17" s="22">
        <v>0</v>
      </c>
      <c r="BS17" s="22">
        <f t="shared" si="31"/>
        <v>0</v>
      </c>
      <c r="BT17" s="23" t="str">
        <f>IF(SUMPRODUCT($J$62:BS$62,$J17:BS17)&lt;0.5, "Pending", IF(BS17&lt;0.5, "Complete", "In Progress"))</f>
        <v>Complete</v>
      </c>
      <c r="BU17" s="22">
        <v>0</v>
      </c>
      <c r="BV17" s="22">
        <f t="shared" si="32"/>
        <v>0</v>
      </c>
      <c r="BW17" s="23" t="str">
        <f>IF(SUMPRODUCT($J$62:BV$62,$J17:BV17)&lt;0.5, "Pending", IF(BV17&lt;0.5, "Complete", "In Progress"))</f>
        <v>Complete</v>
      </c>
      <c r="BX17" s="22">
        <v>0</v>
      </c>
      <c r="BY17" s="22">
        <f t="shared" si="33"/>
        <v>0</v>
      </c>
      <c r="BZ17" s="23" t="str">
        <f>IF(SUMPRODUCT($J$62:BY$62,$J17:BY17)&lt;0.5, "Pending", IF(BY17&lt;0.5, "Complete", "In Progress"))</f>
        <v>Complete</v>
      </c>
      <c r="CA17" s="22">
        <v>0</v>
      </c>
      <c r="CB17" s="22">
        <f t="shared" si="34"/>
        <v>0</v>
      </c>
      <c r="CC17" s="23" t="str">
        <f>IF(SUMPRODUCT($J$62:CB$62,$J17:CB17)&lt;0.5, "Pending", IF(CB17&lt;0.5, "Complete", "In Progress"))</f>
        <v>Complete</v>
      </c>
      <c r="CD17" s="22">
        <v>0</v>
      </c>
      <c r="CE17" s="22">
        <f t="shared" si="35"/>
        <v>0</v>
      </c>
      <c r="CF17" s="23" t="str">
        <f>IF(SUMPRODUCT($J$62:CE$62,$J17:CE17)&lt;0.5, "Pending", IF(CE17&lt;0.5, "Complete", "In Progress"))</f>
        <v>Complete</v>
      </c>
      <c r="CG17" s="22">
        <v>0</v>
      </c>
      <c r="CH17" s="22">
        <f t="shared" si="36"/>
        <v>0</v>
      </c>
      <c r="CI17" s="23" t="str">
        <f>IF(SUMPRODUCT($J$62:CH$62,$J17:CH17)&lt;0.5, "Pending", IF(CH17&lt;0.5, "Complete", "In Progress"))</f>
        <v>Complete</v>
      </c>
      <c r="CJ17" s="22">
        <v>0</v>
      </c>
      <c r="CK17" s="22">
        <f t="shared" si="37"/>
        <v>0</v>
      </c>
      <c r="CL17" s="23" t="str">
        <f>IF(SUMPRODUCT($J$62:CK$62,$J17:CK17)&lt;0.5, "Pending", IF(CK17&lt;0.5, "Complete", "In Progress"))</f>
        <v>Complete</v>
      </c>
      <c r="CM17" s="22">
        <v>0</v>
      </c>
      <c r="CN17" s="22">
        <f t="shared" si="38"/>
        <v>0</v>
      </c>
      <c r="CO17" s="23" t="str">
        <f>IF(SUMPRODUCT($J$62:CN$62,$J17:CN17)&lt;0.5, "Pending", IF(CN17&lt;0.5, "Complete", "In Progress"))</f>
        <v>Complete</v>
      </c>
      <c r="CP17" s="22">
        <v>0</v>
      </c>
      <c r="CQ17" s="22">
        <f t="shared" si="39"/>
        <v>0</v>
      </c>
      <c r="CR17" s="23" t="str">
        <f>IF(SUMPRODUCT($J$62:CQ$62,$J17:CQ17)&lt;0.5, "Pending", IF(CQ17&lt;0.5, "Complete", "In Progress"))</f>
        <v>Complete</v>
      </c>
      <c r="CS17" s="22">
        <v>0</v>
      </c>
      <c r="CT17" s="22">
        <f t="shared" si="40"/>
        <v>0</v>
      </c>
      <c r="CU17" s="23" t="str">
        <f>IF(SUMPRODUCT($J$62:CT$62,$J17:CT17)&lt;0.5, "Pending", IF(CT17&lt;0.5, "Complete", "In Progress"))</f>
        <v>Complete</v>
      </c>
      <c r="CV17" s="22"/>
      <c r="CW17" s="22"/>
      <c r="CX17" s="23"/>
      <c r="CY17" s="22"/>
      <c r="CZ17" s="22"/>
      <c r="DA17" s="23"/>
      <c r="DB17" s="22"/>
      <c r="DC17" s="22"/>
      <c r="DD17" s="23"/>
      <c r="DE17" s="22"/>
      <c r="DF17" s="22"/>
      <c r="DG17" s="23"/>
      <c r="DH17" s="22"/>
      <c r="DI17" s="22"/>
      <c r="DJ17" s="23"/>
      <c r="DK17" s="22"/>
      <c r="DL17" s="22"/>
      <c r="DM17" s="23"/>
      <c r="DN17" s="22"/>
      <c r="DO17" s="22"/>
      <c r="DP17" s="23"/>
      <c r="DQ17" s="22"/>
      <c r="DR17" s="22"/>
      <c r="DS17" s="23"/>
      <c r="DT17" s="22"/>
      <c r="DU17" s="22"/>
      <c r="DV17" s="23"/>
      <c r="DW17" s="22"/>
      <c r="DX17" s="22"/>
      <c r="DY17" s="23"/>
      <c r="DZ17" s="24"/>
      <c r="EA17" s="25">
        <f>SUMPRODUCT($H$62:DG$62,$H17:DG17)</f>
        <v>4</v>
      </c>
    </row>
    <row r="18" spans="1:131" x14ac:dyDescent="0.25">
      <c r="A18" s="16" t="s">
        <v>124</v>
      </c>
      <c r="B18" s="16" t="s">
        <v>136</v>
      </c>
      <c r="C18" s="16" t="s">
        <v>121</v>
      </c>
      <c r="D18" s="17">
        <v>4</v>
      </c>
      <c r="E18" s="199" t="s">
        <v>140</v>
      </c>
      <c r="F18" s="18" t="s">
        <v>126</v>
      </c>
      <c r="G18" s="19" t="str">
        <f t="shared" ca="1" si="0"/>
        <v>Complete</v>
      </c>
      <c r="H18" s="20">
        <v>1</v>
      </c>
      <c r="I18" s="21">
        <v>3</v>
      </c>
      <c r="J18" s="22">
        <v>3</v>
      </c>
      <c r="K18" s="22">
        <f t="shared" si="11"/>
        <v>0</v>
      </c>
      <c r="L18" s="23" t="str">
        <f>IF(SUMPRODUCT($J$62:K$62,$J18:K18)&lt;0.5, "Pending", IF(K18&lt;0.5, "Complete", "In Progress"))</f>
        <v>Complete</v>
      </c>
      <c r="M18" s="22">
        <v>0</v>
      </c>
      <c r="N18" s="22">
        <f t="shared" si="12"/>
        <v>0</v>
      </c>
      <c r="O18" s="23" t="str">
        <f>IF(SUMPRODUCT($J$62:N$62,$J18:N18)&lt;0.5, "Pending", IF(N18&lt;0.5, "Complete", "In Progress"))</f>
        <v>Complete</v>
      </c>
      <c r="P18" s="22">
        <v>0</v>
      </c>
      <c r="Q18" s="22">
        <f t="shared" si="13"/>
        <v>0</v>
      </c>
      <c r="R18" s="23" t="str">
        <f>IF(SUMPRODUCT($J$62:Q$62,$J18:Q18)&lt;0.5, "Pending", IF(Q18&lt;0.5, "Complete", "In Progress"))</f>
        <v>Complete</v>
      </c>
      <c r="S18" s="22">
        <v>0</v>
      </c>
      <c r="T18" s="22">
        <f t="shared" si="14"/>
        <v>0</v>
      </c>
      <c r="U18" s="23" t="str">
        <f>IF(SUMPRODUCT($J$62:T$62,$J18:T18)&lt;0.5, "Pending", IF(T18&lt;0.5, "Complete", "In Progress"))</f>
        <v>Complete</v>
      </c>
      <c r="V18" s="22">
        <v>0</v>
      </c>
      <c r="W18" s="22">
        <f t="shared" si="15"/>
        <v>0</v>
      </c>
      <c r="X18" s="23" t="str">
        <f>IF(SUMPRODUCT($J$62:W$62,$J18:W18)&lt;0.5, "Pending", IF(W18&lt;0.5, "Complete", "In Progress"))</f>
        <v>Complete</v>
      </c>
      <c r="Y18" s="22">
        <v>0</v>
      </c>
      <c r="Z18" s="22">
        <f t="shared" si="16"/>
        <v>0</v>
      </c>
      <c r="AA18" s="23" t="str">
        <f>IF(SUMPRODUCT($J$62:Z$62,$J18:Z18)&lt;0.5, "Pending", IF(Z18&lt;0.5, "Complete", "In Progress"))</f>
        <v>Complete</v>
      </c>
      <c r="AB18" s="22">
        <v>0</v>
      </c>
      <c r="AC18" s="22">
        <f t="shared" si="17"/>
        <v>0</v>
      </c>
      <c r="AD18" s="23" t="str">
        <f>IF(SUMPRODUCT($J$62:AC$62,$J18:AC18)&lt;0.5, "Pending", IF(AC18&lt;0.5, "Complete", "In Progress"))</f>
        <v>Complete</v>
      </c>
      <c r="AE18" s="22">
        <v>0</v>
      </c>
      <c r="AF18" s="22">
        <f t="shared" si="18"/>
        <v>0</v>
      </c>
      <c r="AG18" s="23" t="str">
        <f>IF(SUMPRODUCT($J$62:AF$62,$J18:AF18)&lt;0.5, "Pending", IF(AF18&lt;0.5, "Complete", "In Progress"))</f>
        <v>Complete</v>
      </c>
      <c r="AH18" s="22">
        <v>0</v>
      </c>
      <c r="AI18" s="22">
        <f t="shared" si="19"/>
        <v>0</v>
      </c>
      <c r="AJ18" s="23" t="str">
        <f>IF(SUMPRODUCT($J$62:AI$62,$J18:AI18)&lt;0.5, "Pending", IF(AI18&lt;0.5, "Complete", "In Progress"))</f>
        <v>Complete</v>
      </c>
      <c r="AK18" s="22">
        <v>0</v>
      </c>
      <c r="AL18" s="22">
        <f t="shared" si="20"/>
        <v>0</v>
      </c>
      <c r="AM18" s="23" t="str">
        <f>IF(SUMPRODUCT($J$62:AL$62,$J18:AL18)&lt;0.5, "Pending", IF(AL18&lt;0.5, "Complete", "In Progress"))</f>
        <v>Complete</v>
      </c>
      <c r="AN18" s="22">
        <v>0</v>
      </c>
      <c r="AO18" s="22">
        <f t="shared" si="21"/>
        <v>0</v>
      </c>
      <c r="AP18" s="23" t="str">
        <f>IF(SUMPRODUCT($J$62:AO$62,$J18:AO18)&lt;0.5, "Pending", IF(AO18&lt;0.5, "Complete", "In Progress"))</f>
        <v>Complete</v>
      </c>
      <c r="AQ18" s="22">
        <v>0</v>
      </c>
      <c r="AR18" s="22">
        <f t="shared" si="22"/>
        <v>0</v>
      </c>
      <c r="AS18" s="23" t="str">
        <f>IF(SUMPRODUCT($J$62:AR$62,$J18:AR18)&lt;0.5, "Pending", IF(AR18&lt;0.5, "Complete", "In Progress"))</f>
        <v>Complete</v>
      </c>
      <c r="AT18" s="22">
        <v>0</v>
      </c>
      <c r="AU18" s="22">
        <f t="shared" si="23"/>
        <v>0</v>
      </c>
      <c r="AV18" s="23" t="str">
        <f>IF(SUMPRODUCT($J$62:AU$62,$J18:AU18)&lt;0.5, "Pending", IF(AU18&lt;0.5, "Complete", "In Progress"))</f>
        <v>Complete</v>
      </c>
      <c r="AW18" s="22">
        <v>0</v>
      </c>
      <c r="AX18" s="22">
        <f t="shared" si="24"/>
        <v>0</v>
      </c>
      <c r="AY18" s="23" t="str">
        <f>IF(SUMPRODUCT($J$62:AX$62,$J18:AX18)&lt;0.5, "Pending", IF(AX18&lt;0.5, "Complete", "In Progress"))</f>
        <v>Complete</v>
      </c>
      <c r="AZ18" s="22">
        <v>0</v>
      </c>
      <c r="BA18" s="22">
        <f t="shared" si="25"/>
        <v>0</v>
      </c>
      <c r="BB18" s="23" t="str">
        <f>IF(SUMPRODUCT($J$62:BA$62,$J18:BA18)&lt;0.5, "Pending", IF(BA18&lt;0.5, "Complete", "In Progress"))</f>
        <v>Complete</v>
      </c>
      <c r="BC18" s="22">
        <v>0</v>
      </c>
      <c r="BD18" s="22">
        <f t="shared" si="26"/>
        <v>0</v>
      </c>
      <c r="BE18" s="23" t="str">
        <f>IF(SUMPRODUCT($J$62:BD$62,$J18:BD18)&lt;0.5, "Pending", IF(BD18&lt;0.5, "Complete", "In Progress"))</f>
        <v>Complete</v>
      </c>
      <c r="BF18" s="22">
        <v>0</v>
      </c>
      <c r="BG18" s="22">
        <f t="shared" si="27"/>
        <v>0</v>
      </c>
      <c r="BH18" s="23" t="str">
        <f>IF(SUMPRODUCT($J$62:BG$62,$J18:BG18)&lt;0.5, "Pending", IF(BG18&lt;0.5, "Complete", "In Progress"))</f>
        <v>Complete</v>
      </c>
      <c r="BI18" s="22">
        <v>0</v>
      </c>
      <c r="BJ18" s="22">
        <f t="shared" si="28"/>
        <v>0</v>
      </c>
      <c r="BK18" s="23" t="str">
        <f>IF(SUMPRODUCT($J$62:BJ$62,$J18:BJ18)&lt;0.5, "Pending", IF(BJ18&lt;0.5, "Complete", "In Progress"))</f>
        <v>Complete</v>
      </c>
      <c r="BL18" s="22">
        <v>0</v>
      </c>
      <c r="BM18" s="22">
        <f t="shared" si="29"/>
        <v>0</v>
      </c>
      <c r="BN18" s="23" t="str">
        <f>IF(SUMPRODUCT($J$62:BM$62,$J18:BM18)&lt;0.5, "Pending", IF(BM18&lt;0.5, "Complete", "In Progress"))</f>
        <v>Complete</v>
      </c>
      <c r="BO18" s="22">
        <v>0</v>
      </c>
      <c r="BP18" s="22">
        <f t="shared" si="30"/>
        <v>0</v>
      </c>
      <c r="BQ18" s="23" t="str">
        <f>IF(SUMPRODUCT($J$62:BP$62,$J18:BP18)&lt;0.5, "Pending", IF(BP18&lt;0.5, "Complete", "In Progress"))</f>
        <v>Complete</v>
      </c>
      <c r="BR18" s="22">
        <v>0</v>
      </c>
      <c r="BS18" s="22">
        <f t="shared" si="31"/>
        <v>0</v>
      </c>
      <c r="BT18" s="23" t="str">
        <f>IF(SUMPRODUCT($J$62:BS$62,$J18:BS18)&lt;0.5, "Pending", IF(BS18&lt;0.5, "Complete", "In Progress"))</f>
        <v>Complete</v>
      </c>
      <c r="BU18" s="22">
        <v>0</v>
      </c>
      <c r="BV18" s="22">
        <f t="shared" si="32"/>
        <v>0</v>
      </c>
      <c r="BW18" s="23" t="str">
        <f>IF(SUMPRODUCT($J$62:BV$62,$J18:BV18)&lt;0.5, "Pending", IF(BV18&lt;0.5, "Complete", "In Progress"))</f>
        <v>Complete</v>
      </c>
      <c r="BX18" s="22">
        <v>0</v>
      </c>
      <c r="BY18" s="22">
        <f t="shared" si="33"/>
        <v>0</v>
      </c>
      <c r="BZ18" s="23" t="str">
        <f>IF(SUMPRODUCT($J$62:BY$62,$J18:BY18)&lt;0.5, "Pending", IF(BY18&lt;0.5, "Complete", "In Progress"))</f>
        <v>Complete</v>
      </c>
      <c r="CA18" s="22">
        <v>0</v>
      </c>
      <c r="CB18" s="22">
        <f t="shared" si="34"/>
        <v>0</v>
      </c>
      <c r="CC18" s="23" t="str">
        <f>IF(SUMPRODUCT($J$62:CB$62,$J18:CB18)&lt;0.5, "Pending", IF(CB18&lt;0.5, "Complete", "In Progress"))</f>
        <v>Complete</v>
      </c>
      <c r="CD18" s="22">
        <v>0</v>
      </c>
      <c r="CE18" s="22">
        <f t="shared" si="35"/>
        <v>0</v>
      </c>
      <c r="CF18" s="23" t="str">
        <f>IF(SUMPRODUCT($J$62:CE$62,$J18:CE18)&lt;0.5, "Pending", IF(CE18&lt;0.5, "Complete", "In Progress"))</f>
        <v>Complete</v>
      </c>
      <c r="CG18" s="22">
        <v>0</v>
      </c>
      <c r="CH18" s="22">
        <f t="shared" si="36"/>
        <v>0</v>
      </c>
      <c r="CI18" s="23" t="str">
        <f>IF(SUMPRODUCT($J$62:CH$62,$J18:CH18)&lt;0.5, "Pending", IF(CH18&lt;0.5, "Complete", "In Progress"))</f>
        <v>Complete</v>
      </c>
      <c r="CJ18" s="22">
        <v>0</v>
      </c>
      <c r="CK18" s="22">
        <f t="shared" si="37"/>
        <v>0</v>
      </c>
      <c r="CL18" s="23" t="str">
        <f>IF(SUMPRODUCT($J$62:CK$62,$J18:CK18)&lt;0.5, "Pending", IF(CK18&lt;0.5, "Complete", "In Progress"))</f>
        <v>Complete</v>
      </c>
      <c r="CM18" s="22">
        <v>0</v>
      </c>
      <c r="CN18" s="22">
        <f t="shared" si="38"/>
        <v>0</v>
      </c>
      <c r="CO18" s="23" t="str">
        <f>IF(SUMPRODUCT($J$62:CN$62,$J18:CN18)&lt;0.5, "Pending", IF(CN18&lt;0.5, "Complete", "In Progress"))</f>
        <v>Complete</v>
      </c>
      <c r="CP18" s="22">
        <v>0</v>
      </c>
      <c r="CQ18" s="22">
        <f t="shared" si="39"/>
        <v>0</v>
      </c>
      <c r="CR18" s="23" t="str">
        <f>IF(SUMPRODUCT($J$62:CQ$62,$J18:CQ18)&lt;0.5, "Pending", IF(CQ18&lt;0.5, "Complete", "In Progress"))</f>
        <v>Complete</v>
      </c>
      <c r="CS18" s="22">
        <v>0</v>
      </c>
      <c r="CT18" s="22">
        <f t="shared" si="40"/>
        <v>0</v>
      </c>
      <c r="CU18" s="23" t="str">
        <f>IF(SUMPRODUCT($J$62:CT$62,$J18:CT18)&lt;0.5, "Pending", IF(CT18&lt;0.5, "Complete", "In Progress"))</f>
        <v>Complete</v>
      </c>
      <c r="CV18" s="22"/>
      <c r="CW18" s="22"/>
      <c r="CX18" s="23"/>
      <c r="CY18" s="22"/>
      <c r="CZ18" s="22"/>
      <c r="DA18" s="23"/>
      <c r="DB18" s="22"/>
      <c r="DC18" s="22"/>
      <c r="DD18" s="23"/>
      <c r="DE18" s="22"/>
      <c r="DF18" s="22"/>
      <c r="DG18" s="23"/>
      <c r="DH18" s="22"/>
      <c r="DI18" s="22"/>
      <c r="DJ18" s="23"/>
      <c r="DK18" s="22"/>
      <c r="DL18" s="22"/>
      <c r="DM18" s="23"/>
      <c r="DN18" s="22"/>
      <c r="DO18" s="22"/>
      <c r="DP18" s="23"/>
      <c r="DQ18" s="22"/>
      <c r="DR18" s="22"/>
      <c r="DS18" s="23"/>
      <c r="DT18" s="22"/>
      <c r="DU18" s="22"/>
      <c r="DV18" s="23"/>
      <c r="DW18" s="22"/>
      <c r="DX18" s="22"/>
      <c r="DY18" s="23"/>
      <c r="DZ18" s="24"/>
      <c r="EA18" s="25">
        <f>SUMPRODUCT($H$62:DG$62,$H18:DG18)</f>
        <v>3</v>
      </c>
    </row>
    <row r="19" spans="1:131" x14ac:dyDescent="0.25">
      <c r="A19" s="16" t="s">
        <v>124</v>
      </c>
      <c r="B19" s="16" t="s">
        <v>136</v>
      </c>
      <c r="C19" s="16" t="s">
        <v>121</v>
      </c>
      <c r="D19" s="17">
        <v>4</v>
      </c>
      <c r="E19" s="199" t="s">
        <v>140</v>
      </c>
      <c r="F19" s="18" t="s">
        <v>129</v>
      </c>
      <c r="G19" s="19" t="str">
        <f t="shared" ca="1" si="0"/>
        <v>Complete</v>
      </c>
      <c r="H19" s="20">
        <v>1</v>
      </c>
      <c r="I19" s="21">
        <v>3</v>
      </c>
      <c r="J19" s="22">
        <v>3</v>
      </c>
      <c r="K19" s="22">
        <f t="shared" si="11"/>
        <v>0</v>
      </c>
      <c r="L19" s="23" t="str">
        <f>IF(SUMPRODUCT($J$62:K$62,$J19:K19)&lt;0.5, "Pending", IF(K19&lt;0.5, "Complete", "In Progress"))</f>
        <v>Complete</v>
      </c>
      <c r="M19" s="22">
        <v>0</v>
      </c>
      <c r="N19" s="22">
        <f t="shared" si="12"/>
        <v>0</v>
      </c>
      <c r="O19" s="23" t="str">
        <f>IF(SUMPRODUCT($J$62:N$62,$J19:N19)&lt;0.5, "Pending", IF(N19&lt;0.5, "Complete", "In Progress"))</f>
        <v>Complete</v>
      </c>
      <c r="P19" s="22">
        <v>0</v>
      </c>
      <c r="Q19" s="22">
        <f t="shared" si="13"/>
        <v>0</v>
      </c>
      <c r="R19" s="23" t="str">
        <f>IF(SUMPRODUCT($J$62:Q$62,$J19:Q19)&lt;0.5, "Pending", IF(Q19&lt;0.5, "Complete", "In Progress"))</f>
        <v>Complete</v>
      </c>
      <c r="S19" s="22">
        <v>0</v>
      </c>
      <c r="T19" s="22">
        <f t="shared" si="14"/>
        <v>0</v>
      </c>
      <c r="U19" s="23" t="str">
        <f>IF(SUMPRODUCT($J$62:T$62,$J19:T19)&lt;0.5, "Pending", IF(T19&lt;0.5, "Complete", "In Progress"))</f>
        <v>Complete</v>
      </c>
      <c r="V19" s="22">
        <v>0</v>
      </c>
      <c r="W19" s="22">
        <f t="shared" si="15"/>
        <v>0</v>
      </c>
      <c r="X19" s="23" t="str">
        <f>IF(SUMPRODUCT($J$62:W$62,$J19:W19)&lt;0.5, "Pending", IF(W19&lt;0.5, "Complete", "In Progress"))</f>
        <v>Complete</v>
      </c>
      <c r="Y19" s="22">
        <v>0</v>
      </c>
      <c r="Z19" s="22">
        <f t="shared" si="16"/>
        <v>0</v>
      </c>
      <c r="AA19" s="23" t="str">
        <f>IF(SUMPRODUCT($J$62:Z$62,$J19:Z19)&lt;0.5, "Pending", IF(Z19&lt;0.5, "Complete", "In Progress"))</f>
        <v>Complete</v>
      </c>
      <c r="AB19" s="22">
        <v>0</v>
      </c>
      <c r="AC19" s="22">
        <f t="shared" si="17"/>
        <v>0</v>
      </c>
      <c r="AD19" s="23" t="str">
        <f>IF(SUMPRODUCT($J$62:AC$62,$J19:AC19)&lt;0.5, "Pending", IF(AC19&lt;0.5, "Complete", "In Progress"))</f>
        <v>Complete</v>
      </c>
      <c r="AE19" s="22">
        <v>0</v>
      </c>
      <c r="AF19" s="22">
        <f t="shared" si="18"/>
        <v>0</v>
      </c>
      <c r="AG19" s="23" t="str">
        <f>IF(SUMPRODUCT($J$62:AF$62,$J19:AF19)&lt;0.5, "Pending", IF(AF19&lt;0.5, "Complete", "In Progress"))</f>
        <v>Complete</v>
      </c>
      <c r="AH19" s="22">
        <v>0</v>
      </c>
      <c r="AI19" s="22">
        <f t="shared" si="19"/>
        <v>0</v>
      </c>
      <c r="AJ19" s="23" t="str">
        <f>IF(SUMPRODUCT($J$62:AI$62,$J19:AI19)&lt;0.5, "Pending", IF(AI19&lt;0.5, "Complete", "In Progress"))</f>
        <v>Complete</v>
      </c>
      <c r="AK19" s="22">
        <v>0</v>
      </c>
      <c r="AL19" s="22">
        <f t="shared" si="20"/>
        <v>0</v>
      </c>
      <c r="AM19" s="23" t="str">
        <f>IF(SUMPRODUCT($J$62:AL$62,$J19:AL19)&lt;0.5, "Pending", IF(AL19&lt;0.5, "Complete", "In Progress"))</f>
        <v>Complete</v>
      </c>
      <c r="AN19" s="22">
        <v>0</v>
      </c>
      <c r="AO19" s="22">
        <f t="shared" si="21"/>
        <v>0</v>
      </c>
      <c r="AP19" s="23" t="str">
        <f>IF(SUMPRODUCT($J$62:AO$62,$J19:AO19)&lt;0.5, "Pending", IF(AO19&lt;0.5, "Complete", "In Progress"))</f>
        <v>Complete</v>
      </c>
      <c r="AQ19" s="22">
        <v>0</v>
      </c>
      <c r="AR19" s="22">
        <f t="shared" si="22"/>
        <v>0</v>
      </c>
      <c r="AS19" s="23" t="str">
        <f>IF(SUMPRODUCT($J$62:AR$62,$J19:AR19)&lt;0.5, "Pending", IF(AR19&lt;0.5, "Complete", "In Progress"))</f>
        <v>Complete</v>
      </c>
      <c r="AT19" s="22">
        <v>0</v>
      </c>
      <c r="AU19" s="22">
        <f t="shared" si="23"/>
        <v>0</v>
      </c>
      <c r="AV19" s="23" t="str">
        <f>IF(SUMPRODUCT($J$62:AU$62,$J19:AU19)&lt;0.5, "Pending", IF(AU19&lt;0.5, "Complete", "In Progress"))</f>
        <v>Complete</v>
      </c>
      <c r="AW19" s="22">
        <v>0</v>
      </c>
      <c r="AX19" s="22">
        <f t="shared" si="24"/>
        <v>0</v>
      </c>
      <c r="AY19" s="23" t="str">
        <f>IF(SUMPRODUCT($J$62:AX$62,$J19:AX19)&lt;0.5, "Pending", IF(AX19&lt;0.5, "Complete", "In Progress"))</f>
        <v>Complete</v>
      </c>
      <c r="AZ19" s="22">
        <v>0</v>
      </c>
      <c r="BA19" s="22">
        <f t="shared" si="25"/>
        <v>0</v>
      </c>
      <c r="BB19" s="23" t="str">
        <f>IF(SUMPRODUCT($J$62:BA$62,$J19:BA19)&lt;0.5, "Pending", IF(BA19&lt;0.5, "Complete", "In Progress"))</f>
        <v>Complete</v>
      </c>
      <c r="BC19" s="22">
        <v>0</v>
      </c>
      <c r="BD19" s="22">
        <f t="shared" si="26"/>
        <v>0</v>
      </c>
      <c r="BE19" s="23" t="str">
        <f>IF(SUMPRODUCT($J$62:BD$62,$J19:BD19)&lt;0.5, "Pending", IF(BD19&lt;0.5, "Complete", "In Progress"))</f>
        <v>Complete</v>
      </c>
      <c r="BF19" s="22">
        <v>0</v>
      </c>
      <c r="BG19" s="22">
        <f t="shared" si="27"/>
        <v>0</v>
      </c>
      <c r="BH19" s="23" t="str">
        <f>IF(SUMPRODUCT($J$62:BG$62,$J19:BG19)&lt;0.5, "Pending", IF(BG19&lt;0.5, "Complete", "In Progress"))</f>
        <v>Complete</v>
      </c>
      <c r="BI19" s="22">
        <v>0</v>
      </c>
      <c r="BJ19" s="22">
        <f t="shared" si="28"/>
        <v>0</v>
      </c>
      <c r="BK19" s="23" t="str">
        <f>IF(SUMPRODUCT($J$62:BJ$62,$J19:BJ19)&lt;0.5, "Pending", IF(BJ19&lt;0.5, "Complete", "In Progress"))</f>
        <v>Complete</v>
      </c>
      <c r="BL19" s="22">
        <v>0</v>
      </c>
      <c r="BM19" s="22">
        <f t="shared" si="29"/>
        <v>0</v>
      </c>
      <c r="BN19" s="23" t="str">
        <f>IF(SUMPRODUCT($J$62:BM$62,$J19:BM19)&lt;0.5, "Pending", IF(BM19&lt;0.5, "Complete", "In Progress"))</f>
        <v>Complete</v>
      </c>
      <c r="BO19" s="22">
        <v>0</v>
      </c>
      <c r="BP19" s="22">
        <f t="shared" si="30"/>
        <v>0</v>
      </c>
      <c r="BQ19" s="23" t="str">
        <f>IF(SUMPRODUCT($J$62:BP$62,$J19:BP19)&lt;0.5, "Pending", IF(BP19&lt;0.5, "Complete", "In Progress"))</f>
        <v>Complete</v>
      </c>
      <c r="BR19" s="22">
        <v>0</v>
      </c>
      <c r="BS19" s="22">
        <f t="shared" si="31"/>
        <v>0</v>
      </c>
      <c r="BT19" s="23" t="str">
        <f>IF(SUMPRODUCT($J$62:BS$62,$J19:BS19)&lt;0.5, "Pending", IF(BS19&lt;0.5, "Complete", "In Progress"))</f>
        <v>Complete</v>
      </c>
      <c r="BU19" s="22">
        <v>0</v>
      </c>
      <c r="BV19" s="22">
        <f t="shared" si="32"/>
        <v>0</v>
      </c>
      <c r="BW19" s="23" t="str">
        <f>IF(SUMPRODUCT($J$62:BV$62,$J19:BV19)&lt;0.5, "Pending", IF(BV19&lt;0.5, "Complete", "In Progress"))</f>
        <v>Complete</v>
      </c>
      <c r="BX19" s="22">
        <v>0</v>
      </c>
      <c r="BY19" s="22">
        <f t="shared" si="33"/>
        <v>0</v>
      </c>
      <c r="BZ19" s="23" t="str">
        <f>IF(SUMPRODUCT($J$62:BY$62,$J19:BY19)&lt;0.5, "Pending", IF(BY19&lt;0.5, "Complete", "In Progress"))</f>
        <v>Complete</v>
      </c>
      <c r="CA19" s="22">
        <v>0</v>
      </c>
      <c r="CB19" s="22">
        <f t="shared" si="34"/>
        <v>0</v>
      </c>
      <c r="CC19" s="23" t="str">
        <f>IF(SUMPRODUCT($J$62:CB$62,$J19:CB19)&lt;0.5, "Pending", IF(CB19&lt;0.5, "Complete", "In Progress"))</f>
        <v>Complete</v>
      </c>
      <c r="CD19" s="22">
        <v>0</v>
      </c>
      <c r="CE19" s="22">
        <f t="shared" si="35"/>
        <v>0</v>
      </c>
      <c r="CF19" s="23" t="str">
        <f>IF(SUMPRODUCT($J$62:CE$62,$J19:CE19)&lt;0.5, "Pending", IF(CE19&lt;0.5, "Complete", "In Progress"))</f>
        <v>Complete</v>
      </c>
      <c r="CG19" s="22">
        <v>0</v>
      </c>
      <c r="CH19" s="22">
        <f t="shared" si="36"/>
        <v>0</v>
      </c>
      <c r="CI19" s="23" t="str">
        <f>IF(SUMPRODUCT($J$62:CH$62,$J19:CH19)&lt;0.5, "Pending", IF(CH19&lt;0.5, "Complete", "In Progress"))</f>
        <v>Complete</v>
      </c>
      <c r="CJ19" s="22">
        <v>0</v>
      </c>
      <c r="CK19" s="22">
        <f t="shared" si="37"/>
        <v>0</v>
      </c>
      <c r="CL19" s="23" t="str">
        <f>IF(SUMPRODUCT($J$62:CK$62,$J19:CK19)&lt;0.5, "Pending", IF(CK19&lt;0.5, "Complete", "In Progress"))</f>
        <v>Complete</v>
      </c>
      <c r="CM19" s="22">
        <v>0</v>
      </c>
      <c r="CN19" s="22">
        <f t="shared" si="38"/>
        <v>0</v>
      </c>
      <c r="CO19" s="23" t="str">
        <f>IF(SUMPRODUCT($J$62:CN$62,$J19:CN19)&lt;0.5, "Pending", IF(CN19&lt;0.5, "Complete", "In Progress"))</f>
        <v>Complete</v>
      </c>
      <c r="CP19" s="22">
        <v>0</v>
      </c>
      <c r="CQ19" s="22">
        <f t="shared" si="39"/>
        <v>0</v>
      </c>
      <c r="CR19" s="23" t="str">
        <f>IF(SUMPRODUCT($J$62:CQ$62,$J19:CQ19)&lt;0.5, "Pending", IF(CQ19&lt;0.5, "Complete", "In Progress"))</f>
        <v>Complete</v>
      </c>
      <c r="CS19" s="22">
        <v>0</v>
      </c>
      <c r="CT19" s="22">
        <f t="shared" si="40"/>
        <v>0</v>
      </c>
      <c r="CU19" s="23" t="str">
        <f>IF(SUMPRODUCT($J$62:CT$62,$J19:CT19)&lt;0.5, "Pending", IF(CT19&lt;0.5, "Complete", "In Progress"))</f>
        <v>Complete</v>
      </c>
      <c r="CV19" s="22"/>
      <c r="CW19" s="22"/>
      <c r="CX19" s="23"/>
      <c r="CY19" s="22"/>
      <c r="CZ19" s="22"/>
      <c r="DA19" s="23"/>
      <c r="DB19" s="22"/>
      <c r="DC19" s="22"/>
      <c r="DD19" s="23"/>
      <c r="DE19" s="22"/>
      <c r="DF19" s="22"/>
      <c r="DG19" s="23"/>
      <c r="DH19" s="22"/>
      <c r="DI19" s="22"/>
      <c r="DJ19" s="23"/>
      <c r="DK19" s="22"/>
      <c r="DL19" s="22"/>
      <c r="DM19" s="23"/>
      <c r="DN19" s="22"/>
      <c r="DO19" s="22"/>
      <c r="DP19" s="23"/>
      <c r="DQ19" s="22"/>
      <c r="DR19" s="22"/>
      <c r="DS19" s="23"/>
      <c r="DT19" s="22"/>
      <c r="DU19" s="22"/>
      <c r="DV19" s="23"/>
      <c r="DW19" s="22"/>
      <c r="DX19" s="22"/>
      <c r="DY19" s="23"/>
      <c r="DZ19" s="24"/>
      <c r="EA19" s="25">
        <f>SUMPRODUCT($H$62:DG$62,$H19:DG19)</f>
        <v>3</v>
      </c>
    </row>
    <row r="20" spans="1:131" x14ac:dyDescent="0.25">
      <c r="A20" s="16" t="s">
        <v>124</v>
      </c>
      <c r="B20" s="16" t="s">
        <v>136</v>
      </c>
      <c r="C20" s="16" t="s">
        <v>121</v>
      </c>
      <c r="D20" s="17">
        <v>4</v>
      </c>
      <c r="E20" s="199" t="s">
        <v>140</v>
      </c>
      <c r="F20" s="18" t="s">
        <v>134</v>
      </c>
      <c r="G20" s="19" t="str">
        <f t="shared" ca="1" si="0"/>
        <v>Complete</v>
      </c>
      <c r="H20" s="20">
        <v>1</v>
      </c>
      <c r="I20" s="21">
        <v>3</v>
      </c>
      <c r="J20" s="22">
        <v>3</v>
      </c>
      <c r="K20" s="22">
        <f t="shared" si="11"/>
        <v>0</v>
      </c>
      <c r="L20" s="23" t="str">
        <f>IF(SUMPRODUCT($J$62:K$62,$J20:K20)&lt;0.5, "Pending", IF(K20&lt;0.5, "Complete", "In Progress"))</f>
        <v>Complete</v>
      </c>
      <c r="M20" s="22">
        <v>0</v>
      </c>
      <c r="N20" s="22">
        <f t="shared" si="12"/>
        <v>0</v>
      </c>
      <c r="O20" s="23" t="str">
        <f>IF(SUMPRODUCT($J$62:N$62,$J20:N20)&lt;0.5, "Pending", IF(N20&lt;0.5, "Complete", "In Progress"))</f>
        <v>Complete</v>
      </c>
      <c r="P20" s="22">
        <v>0</v>
      </c>
      <c r="Q20" s="22">
        <f t="shared" si="13"/>
        <v>0</v>
      </c>
      <c r="R20" s="23" t="str">
        <f>IF(SUMPRODUCT($J$62:Q$62,$J20:Q20)&lt;0.5, "Pending", IF(Q20&lt;0.5, "Complete", "In Progress"))</f>
        <v>Complete</v>
      </c>
      <c r="S20" s="22">
        <v>0</v>
      </c>
      <c r="T20" s="22">
        <f t="shared" si="14"/>
        <v>0</v>
      </c>
      <c r="U20" s="23" t="str">
        <f>IF(SUMPRODUCT($J$62:T$62,$J20:T20)&lt;0.5, "Pending", IF(T20&lt;0.5, "Complete", "In Progress"))</f>
        <v>Complete</v>
      </c>
      <c r="V20" s="22">
        <v>0</v>
      </c>
      <c r="W20" s="22">
        <f t="shared" si="15"/>
        <v>0</v>
      </c>
      <c r="X20" s="23" t="str">
        <f>IF(SUMPRODUCT($J$62:W$62,$J20:W20)&lt;0.5, "Pending", IF(W20&lt;0.5, "Complete", "In Progress"))</f>
        <v>Complete</v>
      </c>
      <c r="Y20" s="22">
        <v>0</v>
      </c>
      <c r="Z20" s="22">
        <f t="shared" si="16"/>
        <v>0</v>
      </c>
      <c r="AA20" s="23" t="str">
        <f>IF(SUMPRODUCT($J$62:Z$62,$J20:Z20)&lt;0.5, "Pending", IF(Z20&lt;0.5, "Complete", "In Progress"))</f>
        <v>Complete</v>
      </c>
      <c r="AB20" s="22">
        <v>0</v>
      </c>
      <c r="AC20" s="22">
        <f t="shared" si="17"/>
        <v>0</v>
      </c>
      <c r="AD20" s="23" t="str">
        <f>IF(SUMPRODUCT($J$62:AC$62,$J20:AC20)&lt;0.5, "Pending", IF(AC20&lt;0.5, "Complete", "In Progress"))</f>
        <v>Complete</v>
      </c>
      <c r="AE20" s="22">
        <v>0</v>
      </c>
      <c r="AF20" s="22">
        <f t="shared" si="18"/>
        <v>0</v>
      </c>
      <c r="AG20" s="23" t="str">
        <f>IF(SUMPRODUCT($J$62:AF$62,$J20:AF20)&lt;0.5, "Pending", IF(AF20&lt;0.5, "Complete", "In Progress"))</f>
        <v>Complete</v>
      </c>
      <c r="AH20" s="22">
        <v>0</v>
      </c>
      <c r="AI20" s="22">
        <f t="shared" si="19"/>
        <v>0</v>
      </c>
      <c r="AJ20" s="23" t="str">
        <f>IF(SUMPRODUCT($J$62:AI$62,$J20:AI20)&lt;0.5, "Pending", IF(AI20&lt;0.5, "Complete", "In Progress"))</f>
        <v>Complete</v>
      </c>
      <c r="AK20" s="22">
        <v>0</v>
      </c>
      <c r="AL20" s="22">
        <f t="shared" si="20"/>
        <v>0</v>
      </c>
      <c r="AM20" s="23" t="str">
        <f>IF(SUMPRODUCT($J$62:AL$62,$J20:AL20)&lt;0.5, "Pending", IF(AL20&lt;0.5, "Complete", "In Progress"))</f>
        <v>Complete</v>
      </c>
      <c r="AN20" s="22">
        <v>0</v>
      </c>
      <c r="AO20" s="22">
        <f t="shared" si="21"/>
        <v>0</v>
      </c>
      <c r="AP20" s="23" t="str">
        <f>IF(SUMPRODUCT($J$62:AO$62,$J20:AO20)&lt;0.5, "Pending", IF(AO20&lt;0.5, "Complete", "In Progress"))</f>
        <v>Complete</v>
      </c>
      <c r="AQ20" s="22">
        <v>0</v>
      </c>
      <c r="AR20" s="22">
        <f t="shared" si="22"/>
        <v>0</v>
      </c>
      <c r="AS20" s="23" t="str">
        <f>IF(SUMPRODUCT($J$62:AR$62,$J20:AR20)&lt;0.5, "Pending", IF(AR20&lt;0.5, "Complete", "In Progress"))</f>
        <v>Complete</v>
      </c>
      <c r="AT20" s="22">
        <v>0</v>
      </c>
      <c r="AU20" s="22">
        <f t="shared" si="23"/>
        <v>0</v>
      </c>
      <c r="AV20" s="23" t="str">
        <f>IF(SUMPRODUCT($J$62:AU$62,$J20:AU20)&lt;0.5, "Pending", IF(AU20&lt;0.5, "Complete", "In Progress"))</f>
        <v>Complete</v>
      </c>
      <c r="AW20" s="22">
        <v>0</v>
      </c>
      <c r="AX20" s="22">
        <f t="shared" si="24"/>
        <v>0</v>
      </c>
      <c r="AY20" s="23" t="str">
        <f>IF(SUMPRODUCT($J$62:AX$62,$J20:AX20)&lt;0.5, "Pending", IF(AX20&lt;0.5, "Complete", "In Progress"))</f>
        <v>Complete</v>
      </c>
      <c r="AZ20" s="22">
        <v>0</v>
      </c>
      <c r="BA20" s="22">
        <f t="shared" si="25"/>
        <v>0</v>
      </c>
      <c r="BB20" s="23" t="str">
        <f>IF(SUMPRODUCT($J$62:BA$62,$J20:BA20)&lt;0.5, "Pending", IF(BA20&lt;0.5, "Complete", "In Progress"))</f>
        <v>Complete</v>
      </c>
      <c r="BC20" s="22">
        <v>0</v>
      </c>
      <c r="BD20" s="22">
        <f t="shared" si="26"/>
        <v>0</v>
      </c>
      <c r="BE20" s="23" t="str">
        <f>IF(SUMPRODUCT($J$62:BD$62,$J20:BD20)&lt;0.5, "Pending", IF(BD20&lt;0.5, "Complete", "In Progress"))</f>
        <v>Complete</v>
      </c>
      <c r="BF20" s="22">
        <v>0</v>
      </c>
      <c r="BG20" s="22">
        <f t="shared" si="27"/>
        <v>0</v>
      </c>
      <c r="BH20" s="23" t="str">
        <f>IF(SUMPRODUCT($J$62:BG$62,$J20:BG20)&lt;0.5, "Pending", IF(BG20&lt;0.5, "Complete", "In Progress"))</f>
        <v>Complete</v>
      </c>
      <c r="BI20" s="22">
        <v>0</v>
      </c>
      <c r="BJ20" s="22">
        <f t="shared" si="28"/>
        <v>0</v>
      </c>
      <c r="BK20" s="23" t="str">
        <f>IF(SUMPRODUCT($J$62:BJ$62,$J20:BJ20)&lt;0.5, "Pending", IF(BJ20&lt;0.5, "Complete", "In Progress"))</f>
        <v>Complete</v>
      </c>
      <c r="BL20" s="22">
        <v>0</v>
      </c>
      <c r="BM20" s="22">
        <f t="shared" si="29"/>
        <v>0</v>
      </c>
      <c r="BN20" s="23" t="str">
        <f>IF(SUMPRODUCT($J$62:BM$62,$J20:BM20)&lt;0.5, "Pending", IF(BM20&lt;0.5, "Complete", "In Progress"))</f>
        <v>Complete</v>
      </c>
      <c r="BO20" s="22">
        <v>0</v>
      </c>
      <c r="BP20" s="22">
        <f t="shared" si="30"/>
        <v>0</v>
      </c>
      <c r="BQ20" s="23" t="str">
        <f>IF(SUMPRODUCT($J$62:BP$62,$J20:BP20)&lt;0.5, "Pending", IF(BP20&lt;0.5, "Complete", "In Progress"))</f>
        <v>Complete</v>
      </c>
      <c r="BR20" s="22">
        <v>0</v>
      </c>
      <c r="BS20" s="22">
        <f t="shared" si="31"/>
        <v>0</v>
      </c>
      <c r="BT20" s="23" t="str">
        <f>IF(SUMPRODUCT($J$62:BS$62,$J20:BS20)&lt;0.5, "Pending", IF(BS20&lt;0.5, "Complete", "In Progress"))</f>
        <v>Complete</v>
      </c>
      <c r="BU20" s="22">
        <v>0</v>
      </c>
      <c r="BV20" s="22">
        <f t="shared" si="32"/>
        <v>0</v>
      </c>
      <c r="BW20" s="23" t="str">
        <f>IF(SUMPRODUCT($J$62:BV$62,$J20:BV20)&lt;0.5, "Pending", IF(BV20&lt;0.5, "Complete", "In Progress"))</f>
        <v>Complete</v>
      </c>
      <c r="BX20" s="22">
        <v>0</v>
      </c>
      <c r="BY20" s="22">
        <f t="shared" si="33"/>
        <v>0</v>
      </c>
      <c r="BZ20" s="23" t="str">
        <f>IF(SUMPRODUCT($J$62:BY$62,$J20:BY20)&lt;0.5, "Pending", IF(BY20&lt;0.5, "Complete", "In Progress"))</f>
        <v>Complete</v>
      </c>
      <c r="CA20" s="22">
        <v>0</v>
      </c>
      <c r="CB20" s="22">
        <f t="shared" si="34"/>
        <v>0</v>
      </c>
      <c r="CC20" s="23" t="str">
        <f>IF(SUMPRODUCT($J$62:CB$62,$J20:CB20)&lt;0.5, "Pending", IF(CB20&lt;0.5, "Complete", "In Progress"))</f>
        <v>Complete</v>
      </c>
      <c r="CD20" s="22">
        <v>0</v>
      </c>
      <c r="CE20" s="22">
        <f t="shared" si="35"/>
        <v>0</v>
      </c>
      <c r="CF20" s="23" t="str">
        <f>IF(SUMPRODUCT($J$62:CE$62,$J20:CE20)&lt;0.5, "Pending", IF(CE20&lt;0.5, "Complete", "In Progress"))</f>
        <v>Complete</v>
      </c>
      <c r="CG20" s="22">
        <v>0</v>
      </c>
      <c r="CH20" s="22">
        <f t="shared" si="36"/>
        <v>0</v>
      </c>
      <c r="CI20" s="23" t="str">
        <f>IF(SUMPRODUCT($J$62:CH$62,$J20:CH20)&lt;0.5, "Pending", IF(CH20&lt;0.5, "Complete", "In Progress"))</f>
        <v>Complete</v>
      </c>
      <c r="CJ20" s="22">
        <v>0</v>
      </c>
      <c r="CK20" s="22">
        <f t="shared" si="37"/>
        <v>0</v>
      </c>
      <c r="CL20" s="23" t="str">
        <f>IF(SUMPRODUCT($J$62:CK$62,$J20:CK20)&lt;0.5, "Pending", IF(CK20&lt;0.5, "Complete", "In Progress"))</f>
        <v>Complete</v>
      </c>
      <c r="CM20" s="22">
        <v>0</v>
      </c>
      <c r="CN20" s="22">
        <f t="shared" si="38"/>
        <v>0</v>
      </c>
      <c r="CO20" s="23" t="str">
        <f>IF(SUMPRODUCT($J$62:CN$62,$J20:CN20)&lt;0.5, "Pending", IF(CN20&lt;0.5, "Complete", "In Progress"))</f>
        <v>Complete</v>
      </c>
      <c r="CP20" s="22">
        <v>0</v>
      </c>
      <c r="CQ20" s="22">
        <f t="shared" si="39"/>
        <v>0</v>
      </c>
      <c r="CR20" s="23" t="str">
        <f>IF(SUMPRODUCT($J$62:CQ$62,$J20:CQ20)&lt;0.5, "Pending", IF(CQ20&lt;0.5, "Complete", "In Progress"))</f>
        <v>Complete</v>
      </c>
      <c r="CS20" s="22">
        <v>0</v>
      </c>
      <c r="CT20" s="22">
        <f t="shared" si="40"/>
        <v>0</v>
      </c>
      <c r="CU20" s="23" t="str">
        <f>IF(SUMPRODUCT($J$62:CT$62,$J20:CT20)&lt;0.5, "Pending", IF(CT20&lt;0.5, "Complete", "In Progress"))</f>
        <v>Complete</v>
      </c>
      <c r="CV20" s="22">
        <v>0</v>
      </c>
      <c r="CW20" s="22">
        <f t="shared" ref="CW20:CW59" si="41">MAX(CT20-CV20,0)</f>
        <v>0</v>
      </c>
      <c r="CX20" s="23" t="str">
        <f>IF(SUMPRODUCT($J$62:CW$62,$J20:CW20)&lt;0.5, "Pending", IF(CW20&lt;0.5, "Complete", "In Progress"))</f>
        <v>Complete</v>
      </c>
      <c r="CY20" s="22">
        <v>0</v>
      </c>
      <c r="CZ20" s="22">
        <f t="shared" ref="CZ20:CZ59" si="42">MAX(CW20-CY20,0)</f>
        <v>0</v>
      </c>
      <c r="DA20" s="23" t="str">
        <f>IF(SUMPRODUCT($J$62:CZ$62,$J20:CZ20)&lt;0.5, "Pending", IF(CZ20&lt;0.5, "Complete", "In Progress"))</f>
        <v>Complete</v>
      </c>
      <c r="DB20" s="22">
        <v>0</v>
      </c>
      <c r="DC20" s="22">
        <f t="shared" ref="DC20:DC59" si="43">MAX(CZ20-DB20,0)</f>
        <v>0</v>
      </c>
      <c r="DD20" s="23" t="str">
        <f>IF(SUMPRODUCT($J$62:DC$62,$J20:DC20)&lt;0.5, "Pending", IF(DC20&lt;0.5, "Complete", "In Progress"))</f>
        <v>Complete</v>
      </c>
      <c r="DE20" s="22">
        <v>0</v>
      </c>
      <c r="DF20" s="22">
        <f t="shared" ref="DF20:DF59" si="44">MAX(DC20-DE20,0)</f>
        <v>0</v>
      </c>
      <c r="DG20" s="23" t="str">
        <f>IF(SUMPRODUCT($J$62:DF$62,$J20:DF20)&lt;0.5, "Pending", IF(DF20&lt;0.5, "Complete", "In Progress"))</f>
        <v>Complete</v>
      </c>
      <c r="DH20" s="22">
        <v>0</v>
      </c>
      <c r="DI20" s="22">
        <f t="shared" ref="DI20:DI59" si="45">MAX(DF20-DH20,0)</f>
        <v>0</v>
      </c>
      <c r="DJ20" s="23" t="str">
        <f>IF(SUMPRODUCT($J$62:DI$62,$J20:DI20)&lt;0.5, "Pending", IF(DI20&lt;0.5, "Complete", "In Progress"))</f>
        <v>Complete</v>
      </c>
      <c r="DK20" s="22">
        <v>0</v>
      </c>
      <c r="DL20" s="22">
        <f t="shared" ref="DL20:DL59" si="46">MAX(DI20-DK20,0)</f>
        <v>0</v>
      </c>
      <c r="DM20" s="23" t="str">
        <f>IF(SUMPRODUCT($J$62:DL$62,$J20:DL20)&lt;0.5, "Pending", IF(DL20&lt;0.5, "Complete", "In Progress"))</f>
        <v>Complete</v>
      </c>
      <c r="DN20" s="22">
        <v>0</v>
      </c>
      <c r="DO20" s="22">
        <f t="shared" ref="DO20:DO59" si="47">MAX(DL20-DN20,0)</f>
        <v>0</v>
      </c>
      <c r="DP20" s="23" t="str">
        <f>IF(SUMPRODUCT($J$62:DO$62,$J20:DO20)&lt;0.5, "Pending", IF(DO20&lt;0.5, "Complete", "In Progress"))</f>
        <v>Complete</v>
      </c>
      <c r="DQ20" s="22">
        <v>0</v>
      </c>
      <c r="DR20" s="22">
        <f t="shared" ref="DR20:DR59" si="48">MAX(DO20-DQ20,0)</f>
        <v>0</v>
      </c>
      <c r="DS20" s="23" t="str">
        <f>IF(SUMPRODUCT($J$62:DR$62,$J20:DR20)&lt;0.5, "Pending", IF(DR20&lt;0.5, "Complete", "In Progress"))</f>
        <v>Complete</v>
      </c>
      <c r="DT20" s="22">
        <v>0</v>
      </c>
      <c r="DU20" s="22">
        <f t="shared" ref="DU20:DU59" si="49">MAX(DR20-DT20,0)</f>
        <v>0</v>
      </c>
      <c r="DV20" s="23" t="str">
        <f>IF(SUMPRODUCT($J$62:DU$62,$J20:DU20)&lt;0.5, "Pending", IF(DU20&lt;0.5, "Complete", "In Progress"))</f>
        <v>Complete</v>
      </c>
      <c r="DW20" s="22">
        <v>0</v>
      </c>
      <c r="DX20" s="22">
        <f t="shared" ref="DX20:DX59" si="50">MAX(DU20-DW20,0)</f>
        <v>0</v>
      </c>
      <c r="DY20" s="23" t="str">
        <f>IF(SUMPRODUCT($J$62:DX$62,$J20:DX20)&lt;0.5, "Pending", IF(DX20&lt;0.5, "Complete", "In Progress"))</f>
        <v>Complete</v>
      </c>
      <c r="DZ20" s="24"/>
      <c r="EA20" s="25">
        <f>SUMPRODUCT($H$62:DG$62,$H20:DG20)</f>
        <v>3</v>
      </c>
    </row>
    <row r="21" spans="1:131" x14ac:dyDescent="0.25">
      <c r="A21" s="16" t="s">
        <v>119</v>
      </c>
      <c r="B21" s="16" t="s">
        <v>136</v>
      </c>
      <c r="C21" s="16" t="s">
        <v>121</v>
      </c>
      <c r="D21" s="17">
        <v>5</v>
      </c>
      <c r="E21" s="199" t="s">
        <v>141</v>
      </c>
      <c r="F21" s="18" t="s">
        <v>123</v>
      </c>
      <c r="G21" s="19" t="str">
        <f t="shared" ca="1" si="0"/>
        <v>Complete</v>
      </c>
      <c r="H21" s="20">
        <v>1</v>
      </c>
      <c r="I21" s="21">
        <v>3</v>
      </c>
      <c r="J21" s="22">
        <v>3</v>
      </c>
      <c r="K21" s="22">
        <f t="shared" si="11"/>
        <v>0</v>
      </c>
      <c r="L21" s="23" t="str">
        <f>IF(SUMPRODUCT($J$62:K$62,$J21:K21)&lt;0.5, "Pending", IF(K21&lt;0.5, "Complete", "In Progress"))</f>
        <v>Complete</v>
      </c>
      <c r="M21" s="22">
        <v>0</v>
      </c>
      <c r="N21" s="22">
        <f t="shared" si="12"/>
        <v>0</v>
      </c>
      <c r="O21" s="23" t="str">
        <f>IF(SUMPRODUCT($J$62:N$62,$J21:N21)&lt;0.5, "Pending", IF(N21&lt;0.5, "Complete", "In Progress"))</f>
        <v>Complete</v>
      </c>
      <c r="P21" s="22">
        <v>0</v>
      </c>
      <c r="Q21" s="22">
        <f t="shared" si="13"/>
        <v>0</v>
      </c>
      <c r="R21" s="23" t="str">
        <f>IF(SUMPRODUCT($J$62:Q$62,$J21:Q21)&lt;0.5, "Pending", IF(Q21&lt;0.5, "Complete", "In Progress"))</f>
        <v>Complete</v>
      </c>
      <c r="S21" s="22">
        <v>0</v>
      </c>
      <c r="T21" s="22">
        <f t="shared" si="14"/>
        <v>0</v>
      </c>
      <c r="U21" s="23" t="str">
        <f>IF(SUMPRODUCT($J$62:T$62,$J21:T21)&lt;0.5, "Pending", IF(T21&lt;0.5, "Complete", "In Progress"))</f>
        <v>Complete</v>
      </c>
      <c r="V21" s="22">
        <v>0</v>
      </c>
      <c r="W21" s="22">
        <f t="shared" si="15"/>
        <v>0</v>
      </c>
      <c r="X21" s="23" t="str">
        <f>IF(SUMPRODUCT($J$62:W$62,$J21:W21)&lt;0.5, "Pending", IF(W21&lt;0.5, "Complete", "In Progress"))</f>
        <v>Complete</v>
      </c>
      <c r="Y21" s="22">
        <v>0</v>
      </c>
      <c r="Z21" s="22">
        <f t="shared" si="16"/>
        <v>0</v>
      </c>
      <c r="AA21" s="23" t="str">
        <f>IF(SUMPRODUCT($J$62:Z$62,$J21:Z21)&lt;0.5, "Pending", IF(Z21&lt;0.5, "Complete", "In Progress"))</f>
        <v>Complete</v>
      </c>
      <c r="AB21" s="22">
        <v>0</v>
      </c>
      <c r="AC21" s="22">
        <f t="shared" si="17"/>
        <v>0</v>
      </c>
      <c r="AD21" s="23" t="str">
        <f>IF(SUMPRODUCT($J$62:AC$62,$J21:AC21)&lt;0.5, "Pending", IF(AC21&lt;0.5, "Complete", "In Progress"))</f>
        <v>Complete</v>
      </c>
      <c r="AE21" s="22">
        <v>0</v>
      </c>
      <c r="AF21" s="22">
        <f t="shared" si="18"/>
        <v>0</v>
      </c>
      <c r="AG21" s="23" t="str">
        <f>IF(SUMPRODUCT($J$62:AF$62,$J21:AF21)&lt;0.5, "Pending", IF(AF21&lt;0.5, "Complete", "In Progress"))</f>
        <v>Complete</v>
      </c>
      <c r="AH21" s="22">
        <v>0</v>
      </c>
      <c r="AI21" s="22">
        <f t="shared" si="19"/>
        <v>0</v>
      </c>
      <c r="AJ21" s="23" t="str">
        <f>IF(SUMPRODUCT($J$62:AI$62,$J21:AI21)&lt;0.5, "Pending", IF(AI21&lt;0.5, "Complete", "In Progress"))</f>
        <v>Complete</v>
      </c>
      <c r="AK21" s="22">
        <v>0</v>
      </c>
      <c r="AL21" s="22">
        <f t="shared" si="20"/>
        <v>0</v>
      </c>
      <c r="AM21" s="23" t="str">
        <f>IF(SUMPRODUCT($J$62:AL$62,$J21:AL21)&lt;0.5, "Pending", IF(AL21&lt;0.5, "Complete", "In Progress"))</f>
        <v>Complete</v>
      </c>
      <c r="AN21" s="22">
        <v>0</v>
      </c>
      <c r="AO21" s="22">
        <f t="shared" si="21"/>
        <v>0</v>
      </c>
      <c r="AP21" s="23" t="str">
        <f>IF(SUMPRODUCT($J$62:AO$62,$J21:AO21)&lt;0.5, "Pending", IF(AO21&lt;0.5, "Complete", "In Progress"))</f>
        <v>Complete</v>
      </c>
      <c r="AQ21" s="22">
        <v>0</v>
      </c>
      <c r="AR21" s="22">
        <f t="shared" si="22"/>
        <v>0</v>
      </c>
      <c r="AS21" s="23" t="str">
        <f>IF(SUMPRODUCT($J$62:AR$62,$J21:AR21)&lt;0.5, "Pending", IF(AR21&lt;0.5, "Complete", "In Progress"))</f>
        <v>Complete</v>
      </c>
      <c r="AT21" s="22">
        <v>0</v>
      </c>
      <c r="AU21" s="22">
        <f t="shared" si="23"/>
        <v>0</v>
      </c>
      <c r="AV21" s="23" t="str">
        <f>IF(SUMPRODUCT($J$62:AU$62,$J21:AU21)&lt;0.5, "Pending", IF(AU21&lt;0.5, "Complete", "In Progress"))</f>
        <v>Complete</v>
      </c>
      <c r="AW21" s="22">
        <v>0</v>
      </c>
      <c r="AX21" s="22">
        <f t="shared" si="24"/>
        <v>0</v>
      </c>
      <c r="AY21" s="23" t="str">
        <f>IF(SUMPRODUCT($J$62:AX$62,$J21:AX21)&lt;0.5, "Pending", IF(AX21&lt;0.5, "Complete", "In Progress"))</f>
        <v>Complete</v>
      </c>
      <c r="AZ21" s="22">
        <v>0</v>
      </c>
      <c r="BA21" s="22">
        <f t="shared" si="25"/>
        <v>0</v>
      </c>
      <c r="BB21" s="23" t="str">
        <f>IF(SUMPRODUCT($J$62:BA$62,$J21:BA21)&lt;0.5, "Pending", IF(BA21&lt;0.5, "Complete", "In Progress"))</f>
        <v>Complete</v>
      </c>
      <c r="BC21" s="22">
        <v>0</v>
      </c>
      <c r="BD21" s="22">
        <f t="shared" si="26"/>
        <v>0</v>
      </c>
      <c r="BE21" s="23" t="str">
        <f>IF(SUMPRODUCT($J$62:BD$62,$J21:BD21)&lt;0.5, "Pending", IF(BD21&lt;0.5, "Complete", "In Progress"))</f>
        <v>Complete</v>
      </c>
      <c r="BF21" s="22">
        <v>0</v>
      </c>
      <c r="BG21" s="22">
        <f t="shared" si="27"/>
        <v>0</v>
      </c>
      <c r="BH21" s="23" t="str">
        <f>IF(SUMPRODUCT($J$62:BG$62,$J21:BG21)&lt;0.5, "Pending", IF(BG21&lt;0.5, "Complete", "In Progress"))</f>
        <v>Complete</v>
      </c>
      <c r="BI21" s="22">
        <v>0</v>
      </c>
      <c r="BJ21" s="22">
        <f t="shared" si="28"/>
        <v>0</v>
      </c>
      <c r="BK21" s="23" t="str">
        <f>IF(SUMPRODUCT($J$62:BJ$62,$J21:BJ21)&lt;0.5, "Pending", IF(BJ21&lt;0.5, "Complete", "In Progress"))</f>
        <v>Complete</v>
      </c>
      <c r="BL21" s="22">
        <v>0</v>
      </c>
      <c r="BM21" s="22">
        <f t="shared" si="29"/>
        <v>0</v>
      </c>
      <c r="BN21" s="23" t="str">
        <f>IF(SUMPRODUCT($J$62:BM$62,$J21:BM21)&lt;0.5, "Pending", IF(BM21&lt;0.5, "Complete", "In Progress"))</f>
        <v>Complete</v>
      </c>
      <c r="BO21" s="22">
        <v>0</v>
      </c>
      <c r="BP21" s="22">
        <f t="shared" si="30"/>
        <v>0</v>
      </c>
      <c r="BQ21" s="23" t="str">
        <f>IF(SUMPRODUCT($J$62:BP$62,$J21:BP21)&lt;0.5, "Pending", IF(BP21&lt;0.5, "Complete", "In Progress"))</f>
        <v>Complete</v>
      </c>
      <c r="BR21" s="22">
        <v>0</v>
      </c>
      <c r="BS21" s="22">
        <f t="shared" si="31"/>
        <v>0</v>
      </c>
      <c r="BT21" s="23" t="str">
        <f>IF(SUMPRODUCT($J$62:BS$62,$J21:BS21)&lt;0.5, "Pending", IF(BS21&lt;0.5, "Complete", "In Progress"))</f>
        <v>Complete</v>
      </c>
      <c r="BU21" s="22">
        <v>0</v>
      </c>
      <c r="BV21" s="22">
        <f t="shared" si="32"/>
        <v>0</v>
      </c>
      <c r="BW21" s="23" t="str">
        <f>IF(SUMPRODUCT($J$62:BV$62,$J21:BV21)&lt;0.5, "Pending", IF(BV21&lt;0.5, "Complete", "In Progress"))</f>
        <v>Complete</v>
      </c>
      <c r="BX21" s="22">
        <v>0</v>
      </c>
      <c r="BY21" s="22">
        <f t="shared" si="33"/>
        <v>0</v>
      </c>
      <c r="BZ21" s="23" t="str">
        <f>IF(SUMPRODUCT($J$62:BY$62,$J21:BY21)&lt;0.5, "Pending", IF(BY21&lt;0.5, "Complete", "In Progress"))</f>
        <v>Complete</v>
      </c>
      <c r="CA21" s="22">
        <v>0</v>
      </c>
      <c r="CB21" s="22">
        <f t="shared" si="34"/>
        <v>0</v>
      </c>
      <c r="CC21" s="23" t="str">
        <f>IF(SUMPRODUCT($J$62:CB$62,$J21:CB21)&lt;0.5, "Pending", IF(CB21&lt;0.5, "Complete", "In Progress"))</f>
        <v>Complete</v>
      </c>
      <c r="CD21" s="22">
        <v>0</v>
      </c>
      <c r="CE21" s="22">
        <f t="shared" si="35"/>
        <v>0</v>
      </c>
      <c r="CF21" s="23" t="str">
        <f>IF(SUMPRODUCT($J$62:CE$62,$J21:CE21)&lt;0.5, "Pending", IF(CE21&lt;0.5, "Complete", "In Progress"))</f>
        <v>Complete</v>
      </c>
      <c r="CG21" s="22">
        <v>0</v>
      </c>
      <c r="CH21" s="22">
        <f t="shared" si="36"/>
        <v>0</v>
      </c>
      <c r="CI21" s="23" t="str">
        <f>IF(SUMPRODUCT($J$62:CH$62,$J21:CH21)&lt;0.5, "Pending", IF(CH21&lt;0.5, "Complete", "In Progress"))</f>
        <v>Complete</v>
      </c>
      <c r="CJ21" s="22">
        <v>0</v>
      </c>
      <c r="CK21" s="22">
        <f t="shared" si="37"/>
        <v>0</v>
      </c>
      <c r="CL21" s="23" t="str">
        <f>IF(SUMPRODUCT($J$62:CK$62,$J21:CK21)&lt;0.5, "Pending", IF(CK21&lt;0.5, "Complete", "In Progress"))</f>
        <v>Complete</v>
      </c>
      <c r="CM21" s="22">
        <v>0</v>
      </c>
      <c r="CN21" s="22">
        <f t="shared" si="38"/>
        <v>0</v>
      </c>
      <c r="CO21" s="23" t="str">
        <f>IF(SUMPRODUCT($J$62:CN$62,$J21:CN21)&lt;0.5, "Pending", IF(CN21&lt;0.5, "Complete", "In Progress"))</f>
        <v>Complete</v>
      </c>
      <c r="CP21" s="22">
        <v>0</v>
      </c>
      <c r="CQ21" s="22">
        <f t="shared" si="39"/>
        <v>0</v>
      </c>
      <c r="CR21" s="23" t="str">
        <f>IF(SUMPRODUCT($J$62:CQ$62,$J21:CQ21)&lt;0.5, "Pending", IF(CQ21&lt;0.5, "Complete", "In Progress"))</f>
        <v>Complete</v>
      </c>
      <c r="CS21" s="22">
        <v>0</v>
      </c>
      <c r="CT21" s="22">
        <f t="shared" si="40"/>
        <v>0</v>
      </c>
      <c r="CU21" s="23" t="str">
        <f>IF(SUMPRODUCT($J$62:CT$62,$J21:CT21)&lt;0.5, "Pending", IF(CT21&lt;0.5, "Complete", "In Progress"))</f>
        <v>Complete</v>
      </c>
      <c r="CV21" s="22">
        <v>0</v>
      </c>
      <c r="CW21" s="22">
        <f t="shared" si="41"/>
        <v>0</v>
      </c>
      <c r="CX21" s="23" t="str">
        <f>IF(SUMPRODUCT($J$62:CW$62,$J21:CW21)&lt;0.5, "Pending", IF(CW21&lt;0.5, "Complete", "In Progress"))</f>
        <v>Complete</v>
      </c>
      <c r="CY21" s="22">
        <v>0</v>
      </c>
      <c r="CZ21" s="22">
        <f t="shared" si="42"/>
        <v>0</v>
      </c>
      <c r="DA21" s="23" t="str">
        <f>IF(SUMPRODUCT($J$62:CZ$62,$J21:CZ21)&lt;0.5, "Pending", IF(CZ21&lt;0.5, "Complete", "In Progress"))</f>
        <v>Complete</v>
      </c>
      <c r="DB21" s="22">
        <v>0</v>
      </c>
      <c r="DC21" s="22">
        <f t="shared" si="43"/>
        <v>0</v>
      </c>
      <c r="DD21" s="23" t="str">
        <f>IF(SUMPRODUCT($J$62:DC$62,$J21:DC21)&lt;0.5, "Pending", IF(DC21&lt;0.5, "Complete", "In Progress"))</f>
        <v>Complete</v>
      </c>
      <c r="DE21" s="22">
        <v>0</v>
      </c>
      <c r="DF21" s="22">
        <f t="shared" si="44"/>
        <v>0</v>
      </c>
      <c r="DG21" s="23" t="str">
        <f>IF(SUMPRODUCT($J$62:DF$62,$J21:DF21)&lt;0.5, "Pending", IF(DF21&lt;0.5, "Complete", "In Progress"))</f>
        <v>Complete</v>
      </c>
      <c r="DH21" s="22">
        <v>0</v>
      </c>
      <c r="DI21" s="22">
        <f t="shared" si="45"/>
        <v>0</v>
      </c>
      <c r="DJ21" s="23" t="str">
        <f>IF(SUMPRODUCT($J$62:DI$62,$J21:DI21)&lt;0.5, "Pending", IF(DI21&lt;0.5, "Complete", "In Progress"))</f>
        <v>Complete</v>
      </c>
      <c r="DK21" s="22">
        <v>0</v>
      </c>
      <c r="DL21" s="22">
        <f t="shared" si="46"/>
        <v>0</v>
      </c>
      <c r="DM21" s="23" t="str">
        <f>IF(SUMPRODUCT($J$62:DL$62,$J21:DL21)&lt;0.5, "Pending", IF(DL21&lt;0.5, "Complete", "In Progress"))</f>
        <v>Complete</v>
      </c>
      <c r="DN21" s="22">
        <v>0</v>
      </c>
      <c r="DO21" s="22">
        <f t="shared" si="47"/>
        <v>0</v>
      </c>
      <c r="DP21" s="23" t="str">
        <f>IF(SUMPRODUCT($J$62:DO$62,$J21:DO21)&lt;0.5, "Pending", IF(DO21&lt;0.5, "Complete", "In Progress"))</f>
        <v>Complete</v>
      </c>
      <c r="DQ21" s="22">
        <v>0</v>
      </c>
      <c r="DR21" s="22">
        <f t="shared" si="48"/>
        <v>0</v>
      </c>
      <c r="DS21" s="23" t="str">
        <f>IF(SUMPRODUCT($J$62:DR$62,$J21:DR21)&lt;0.5, "Pending", IF(DR21&lt;0.5, "Complete", "In Progress"))</f>
        <v>Complete</v>
      </c>
      <c r="DT21" s="22">
        <v>0</v>
      </c>
      <c r="DU21" s="22">
        <f t="shared" si="49"/>
        <v>0</v>
      </c>
      <c r="DV21" s="23" t="str">
        <f>IF(SUMPRODUCT($J$62:DU$62,$J21:DU21)&lt;0.5, "Pending", IF(DU21&lt;0.5, "Complete", "In Progress"))</f>
        <v>Complete</v>
      </c>
      <c r="DW21" s="22">
        <v>0</v>
      </c>
      <c r="DX21" s="22">
        <f t="shared" si="50"/>
        <v>0</v>
      </c>
      <c r="DY21" s="23" t="str">
        <f>IF(SUMPRODUCT($J$62:DX$62,$J21:DX21)&lt;0.5, "Pending", IF(DX21&lt;0.5, "Complete", "In Progress"))</f>
        <v>Complete</v>
      </c>
      <c r="DZ21" s="24"/>
      <c r="EA21" s="25">
        <f>SUMPRODUCT($H$62:DG$62,$H21:DG21)</f>
        <v>3</v>
      </c>
    </row>
    <row r="22" spans="1:131" x14ac:dyDescent="0.25">
      <c r="A22" s="16" t="s">
        <v>119</v>
      </c>
      <c r="B22" s="16" t="s">
        <v>136</v>
      </c>
      <c r="C22" s="16" t="s">
        <v>121</v>
      </c>
      <c r="D22" s="17">
        <v>6</v>
      </c>
      <c r="E22" s="199" t="s">
        <v>142</v>
      </c>
      <c r="F22" s="18" t="s">
        <v>123</v>
      </c>
      <c r="G22" s="19" t="str">
        <f t="shared" ca="1" si="0"/>
        <v>Complete</v>
      </c>
      <c r="H22" s="20">
        <v>1</v>
      </c>
      <c r="I22" s="21">
        <v>24</v>
      </c>
      <c r="J22" s="22">
        <v>24</v>
      </c>
      <c r="K22" s="22">
        <f t="shared" ref="K22" si="51">MAX(I22-J22, 0)</f>
        <v>0</v>
      </c>
      <c r="L22" s="23" t="str">
        <f>IF(SUMPRODUCT($J$62:K$62,$J22:K22)&lt;0.5, "Pending", IF(K22&lt;0.5, "Complete", "In Progress"))</f>
        <v>Complete</v>
      </c>
      <c r="M22" s="22">
        <v>0</v>
      </c>
      <c r="N22" s="22">
        <f t="shared" ref="N22" si="52">MAX(K22-M22,0)</f>
        <v>0</v>
      </c>
      <c r="O22" s="23" t="str">
        <f>IF(SUMPRODUCT($J$62:N$62,$J22:N22)&lt;0.5, "Pending", IF(N22&lt;0.5, "Complete", "In Progress"))</f>
        <v>Complete</v>
      </c>
      <c r="P22" s="22">
        <v>0</v>
      </c>
      <c r="Q22" s="22">
        <f t="shared" ref="Q22" si="53">MAX(N22-P22,0)</f>
        <v>0</v>
      </c>
      <c r="R22" s="23" t="str">
        <f>IF(SUMPRODUCT($J$62:Q$62,$J22:Q22)&lt;0.5, "Pending", IF(Q22&lt;0.5, "Complete", "In Progress"))</f>
        <v>Complete</v>
      </c>
      <c r="S22" s="22">
        <v>0</v>
      </c>
      <c r="T22" s="22">
        <f t="shared" ref="T22" si="54">MAX(Q22-S22,0)</f>
        <v>0</v>
      </c>
      <c r="U22" s="23" t="str">
        <f>IF(SUMPRODUCT($J$62:T$62,$J22:T22)&lt;0.5, "Pending", IF(T22&lt;0.5, "Complete", "In Progress"))</f>
        <v>Complete</v>
      </c>
      <c r="V22" s="22">
        <v>0</v>
      </c>
      <c r="W22" s="22">
        <f t="shared" ref="W22" si="55">MAX(T22-V22,0)</f>
        <v>0</v>
      </c>
      <c r="X22" s="23" t="str">
        <f>IF(SUMPRODUCT($J$62:W$62,$J22:W22)&lt;0.5, "Pending", IF(W22&lt;0.5, "Complete", "In Progress"))</f>
        <v>Complete</v>
      </c>
      <c r="Y22" s="22">
        <v>0</v>
      </c>
      <c r="Z22" s="22">
        <f t="shared" ref="Z22" si="56">MAX(W22-Y22,0)</f>
        <v>0</v>
      </c>
      <c r="AA22" s="23" t="str">
        <f>IF(SUMPRODUCT($J$62:Z$62,$J22:Z22)&lt;0.5, "Pending", IF(Z22&lt;0.5, "Complete", "In Progress"))</f>
        <v>Complete</v>
      </c>
      <c r="AB22" s="22">
        <v>0</v>
      </c>
      <c r="AC22" s="22">
        <f t="shared" ref="AC22" si="57">MAX(Z22-AB22,0)</f>
        <v>0</v>
      </c>
      <c r="AD22" s="23" t="str">
        <f>IF(SUMPRODUCT($J$62:AC$62,$J22:AC22)&lt;0.5, "Pending", IF(AC22&lt;0.5, "Complete", "In Progress"))</f>
        <v>Complete</v>
      </c>
      <c r="AE22" s="22">
        <v>0</v>
      </c>
      <c r="AF22" s="22">
        <f t="shared" ref="AF22" si="58">MAX(AC22-AE22,0)</f>
        <v>0</v>
      </c>
      <c r="AG22" s="23" t="str">
        <f>IF(SUMPRODUCT($J$62:AF$62,$J22:AF22)&lt;0.5, "Pending", IF(AF22&lt;0.5, "Complete", "In Progress"))</f>
        <v>Complete</v>
      </c>
      <c r="AH22" s="22">
        <v>0</v>
      </c>
      <c r="AI22" s="22">
        <f t="shared" ref="AI22" si="59">MAX(AF22-AH22,0)</f>
        <v>0</v>
      </c>
      <c r="AJ22" s="23" t="str">
        <f>IF(SUMPRODUCT($J$62:AI$62,$J22:AI22)&lt;0.5, "Pending", IF(AI22&lt;0.5, "Complete", "In Progress"))</f>
        <v>Complete</v>
      </c>
      <c r="AK22" s="22">
        <v>0</v>
      </c>
      <c r="AL22" s="22">
        <f t="shared" ref="AL22" si="60">MAX(AI22-AK22,0)</f>
        <v>0</v>
      </c>
      <c r="AM22" s="23" t="str">
        <f>IF(SUMPRODUCT($J$62:AL$62,$J22:AL22)&lt;0.5, "Pending", IF(AL22&lt;0.5, "Complete", "In Progress"))</f>
        <v>Complete</v>
      </c>
      <c r="AN22" s="22">
        <v>0</v>
      </c>
      <c r="AO22" s="22">
        <f t="shared" ref="AO22" si="61">MAX(AL22-AN22,0)</f>
        <v>0</v>
      </c>
      <c r="AP22" s="23" t="str">
        <f>IF(SUMPRODUCT($J$62:AO$62,$J22:AO22)&lt;0.5, "Pending", IF(AO22&lt;0.5, "Complete", "In Progress"))</f>
        <v>Complete</v>
      </c>
      <c r="AQ22" s="22">
        <v>0</v>
      </c>
      <c r="AR22" s="22">
        <f t="shared" ref="AR22" si="62">MAX(AO22-AQ22,0)</f>
        <v>0</v>
      </c>
      <c r="AS22" s="23" t="str">
        <f>IF(SUMPRODUCT($J$62:AR$62,$J22:AR22)&lt;0.5, "Pending", IF(AR22&lt;0.5, "Complete", "In Progress"))</f>
        <v>Complete</v>
      </c>
      <c r="AT22" s="22">
        <v>0</v>
      </c>
      <c r="AU22" s="22">
        <f t="shared" ref="AU22" si="63">MAX(AR22-AT22,0)</f>
        <v>0</v>
      </c>
      <c r="AV22" s="23" t="str">
        <f>IF(SUMPRODUCT($J$62:AU$62,$J22:AU22)&lt;0.5, "Pending", IF(AU22&lt;0.5, "Complete", "In Progress"))</f>
        <v>Complete</v>
      </c>
      <c r="AW22" s="22">
        <v>0</v>
      </c>
      <c r="AX22" s="22">
        <f t="shared" ref="AX22" si="64">MAX(AU22-AW22,0)</f>
        <v>0</v>
      </c>
      <c r="AY22" s="23" t="str">
        <f>IF(SUMPRODUCT($J$62:AX$62,$J22:AX22)&lt;0.5, "Pending", IF(AX22&lt;0.5, "Complete", "In Progress"))</f>
        <v>Complete</v>
      </c>
      <c r="AZ22" s="22">
        <v>0</v>
      </c>
      <c r="BA22" s="22">
        <f t="shared" ref="BA22" si="65">MAX(AX22-AZ22,0)</f>
        <v>0</v>
      </c>
      <c r="BB22" s="23" t="str">
        <f>IF(SUMPRODUCT($J$62:BA$62,$J22:BA22)&lt;0.5, "Pending", IF(BA22&lt;0.5, "Complete", "In Progress"))</f>
        <v>Complete</v>
      </c>
      <c r="BC22" s="22">
        <v>0</v>
      </c>
      <c r="BD22" s="22">
        <f t="shared" ref="BD22" si="66">MAX(BA22-BC22,0)</f>
        <v>0</v>
      </c>
      <c r="BE22" s="23" t="str">
        <f>IF(SUMPRODUCT($J$62:BD$62,$J22:BD22)&lt;0.5, "Pending", IF(BD22&lt;0.5, "Complete", "In Progress"))</f>
        <v>Complete</v>
      </c>
      <c r="BF22" s="22">
        <v>0</v>
      </c>
      <c r="BG22" s="22">
        <f t="shared" ref="BG22" si="67">MAX(BD22-BF22,0)</f>
        <v>0</v>
      </c>
      <c r="BH22" s="23" t="str">
        <f>IF(SUMPRODUCT($J$62:BG$62,$J22:BG22)&lt;0.5, "Pending", IF(BG22&lt;0.5, "Complete", "In Progress"))</f>
        <v>Complete</v>
      </c>
      <c r="BI22" s="22">
        <v>0</v>
      </c>
      <c r="BJ22" s="22">
        <f t="shared" ref="BJ22" si="68">MAX(BG22-BI22,0)</f>
        <v>0</v>
      </c>
      <c r="BK22" s="23" t="str">
        <f>IF(SUMPRODUCT($J$62:BJ$62,$J22:BJ22)&lt;0.5, "Pending", IF(BJ22&lt;0.5, "Complete", "In Progress"))</f>
        <v>Complete</v>
      </c>
      <c r="BL22" s="22">
        <v>0</v>
      </c>
      <c r="BM22" s="22">
        <f t="shared" ref="BM22" si="69">MAX(BJ22-BL22,0)</f>
        <v>0</v>
      </c>
      <c r="BN22" s="23" t="str">
        <f>IF(SUMPRODUCT($J$62:BM$62,$J22:BM22)&lt;0.5, "Pending", IF(BM22&lt;0.5, "Complete", "In Progress"))</f>
        <v>Complete</v>
      </c>
      <c r="BO22" s="22">
        <v>0</v>
      </c>
      <c r="BP22" s="22">
        <f t="shared" ref="BP22" si="70">MAX(BM22-BO22,0)</f>
        <v>0</v>
      </c>
      <c r="BQ22" s="23" t="str">
        <f>IF(SUMPRODUCT($J$62:BP$62,$J22:BP22)&lt;0.5, "Pending", IF(BP22&lt;0.5, "Complete", "In Progress"))</f>
        <v>Complete</v>
      </c>
      <c r="BR22" s="22">
        <v>0</v>
      </c>
      <c r="BS22" s="22">
        <f t="shared" ref="BS22" si="71">MAX(BP22-BR22,0)</f>
        <v>0</v>
      </c>
      <c r="BT22" s="23" t="str">
        <f>IF(SUMPRODUCT($J$62:BS$62,$J22:BS22)&lt;0.5, "Pending", IF(BS22&lt;0.5, "Complete", "In Progress"))</f>
        <v>Complete</v>
      </c>
      <c r="BU22" s="22">
        <v>0</v>
      </c>
      <c r="BV22" s="22">
        <f t="shared" ref="BV22" si="72">MAX(BS22-BU22,0)</f>
        <v>0</v>
      </c>
      <c r="BW22" s="23" t="str">
        <f>IF(SUMPRODUCT($J$62:BV$62,$J22:BV22)&lt;0.5, "Pending", IF(BV22&lt;0.5, "Complete", "In Progress"))</f>
        <v>Complete</v>
      </c>
      <c r="BX22" s="22">
        <v>0</v>
      </c>
      <c r="BY22" s="22">
        <f t="shared" ref="BY22" si="73">MAX(BV22-BX22,0)</f>
        <v>0</v>
      </c>
      <c r="BZ22" s="23" t="str">
        <f>IF(SUMPRODUCT($J$62:BY$62,$J22:BY22)&lt;0.5, "Pending", IF(BY22&lt;0.5, "Complete", "In Progress"))</f>
        <v>Complete</v>
      </c>
      <c r="CA22" s="22">
        <v>0</v>
      </c>
      <c r="CB22" s="22">
        <f t="shared" ref="CB22" si="74">MAX(BY22-CA22,0)</f>
        <v>0</v>
      </c>
      <c r="CC22" s="23" t="str">
        <f>IF(SUMPRODUCT($J$62:CB$62,$J22:CB22)&lt;0.5, "Pending", IF(CB22&lt;0.5, "Complete", "In Progress"))</f>
        <v>Complete</v>
      </c>
      <c r="CD22" s="22">
        <v>0</v>
      </c>
      <c r="CE22" s="22">
        <f t="shared" ref="CE22" si="75">MAX(CB22-CD22,0)</f>
        <v>0</v>
      </c>
      <c r="CF22" s="23" t="str">
        <f>IF(SUMPRODUCT($J$62:CE$62,$J22:CE22)&lt;0.5, "Pending", IF(CE22&lt;0.5, "Complete", "In Progress"))</f>
        <v>Complete</v>
      </c>
      <c r="CG22" s="22">
        <v>0</v>
      </c>
      <c r="CH22" s="22">
        <f t="shared" ref="CH22" si="76">MAX(CE22-CG22,0)</f>
        <v>0</v>
      </c>
      <c r="CI22" s="23" t="str">
        <f>IF(SUMPRODUCT($J$62:CH$62,$J22:CH22)&lt;0.5, "Pending", IF(CH22&lt;0.5, "Complete", "In Progress"))</f>
        <v>Complete</v>
      </c>
      <c r="CJ22" s="22">
        <v>0</v>
      </c>
      <c r="CK22" s="22">
        <f t="shared" ref="CK22" si="77">MAX(CH22-CJ22,0)</f>
        <v>0</v>
      </c>
      <c r="CL22" s="23" t="str">
        <f>IF(SUMPRODUCT($J$62:CK$62,$J22:CK22)&lt;0.5, "Pending", IF(CK22&lt;0.5, "Complete", "In Progress"))</f>
        <v>Complete</v>
      </c>
      <c r="CM22" s="22">
        <v>0</v>
      </c>
      <c r="CN22" s="22">
        <f t="shared" ref="CN22" si="78">MAX(CK22-CM22,0)</f>
        <v>0</v>
      </c>
      <c r="CO22" s="23" t="str">
        <f>IF(SUMPRODUCT($J$62:CN$62,$J22:CN22)&lt;0.5, "Pending", IF(CN22&lt;0.5, "Complete", "In Progress"))</f>
        <v>Complete</v>
      </c>
      <c r="CP22" s="22">
        <v>0</v>
      </c>
      <c r="CQ22" s="22">
        <f t="shared" ref="CQ22" si="79">MAX(CN22-CP22,0)</f>
        <v>0</v>
      </c>
      <c r="CR22" s="23" t="str">
        <f>IF(SUMPRODUCT($J$62:CQ$62,$J22:CQ22)&lt;0.5, "Pending", IF(CQ22&lt;0.5, "Complete", "In Progress"))</f>
        <v>Complete</v>
      </c>
      <c r="CS22" s="22">
        <v>0</v>
      </c>
      <c r="CT22" s="22">
        <f t="shared" ref="CT22" si="80">MAX(CQ22-CS22,0)</f>
        <v>0</v>
      </c>
      <c r="CU22" s="23" t="str">
        <f>IF(SUMPRODUCT($J$62:CT$62,$J22:CT22)&lt;0.5, "Pending", IF(CT22&lt;0.5, "Complete", "In Progress"))</f>
        <v>Complete</v>
      </c>
      <c r="CV22" s="22">
        <v>0</v>
      </c>
      <c r="CW22" s="22">
        <f t="shared" ref="CW22" si="81">MAX(CT22-CV22,0)</f>
        <v>0</v>
      </c>
      <c r="CX22" s="23" t="str">
        <f>IF(SUMPRODUCT($J$62:CW$62,$J22:CW22)&lt;0.5, "Pending", IF(CW22&lt;0.5, "Complete", "In Progress"))</f>
        <v>Complete</v>
      </c>
      <c r="CY22" s="22">
        <v>0</v>
      </c>
      <c r="CZ22" s="22">
        <f t="shared" ref="CZ22" si="82">MAX(CW22-CY22,0)</f>
        <v>0</v>
      </c>
      <c r="DA22" s="23" t="str">
        <f>IF(SUMPRODUCT($J$62:CZ$62,$J22:CZ22)&lt;0.5, "Pending", IF(CZ22&lt;0.5, "Complete", "In Progress"))</f>
        <v>Complete</v>
      </c>
      <c r="DB22" s="22">
        <v>0</v>
      </c>
      <c r="DC22" s="22">
        <f t="shared" ref="DC22" si="83">MAX(CZ22-DB22,0)</f>
        <v>0</v>
      </c>
      <c r="DD22" s="23" t="str">
        <f>IF(SUMPRODUCT($J$62:DC$62,$J22:DC22)&lt;0.5, "Pending", IF(DC22&lt;0.5, "Complete", "In Progress"))</f>
        <v>Complete</v>
      </c>
      <c r="DE22" s="22">
        <v>0</v>
      </c>
      <c r="DF22" s="22">
        <f t="shared" ref="DF22" si="84">MAX(DC22-DE22,0)</f>
        <v>0</v>
      </c>
      <c r="DG22" s="23" t="str">
        <f>IF(SUMPRODUCT($J$62:DF$62,$J22:DF22)&lt;0.5, "Pending", IF(DF22&lt;0.5, "Complete", "In Progress"))</f>
        <v>Complete</v>
      </c>
      <c r="DH22" s="22">
        <v>0</v>
      </c>
      <c r="DI22" s="22">
        <f t="shared" ref="DI22" si="85">MAX(DF22-DH22,0)</f>
        <v>0</v>
      </c>
      <c r="DJ22" s="23" t="str">
        <f>IF(SUMPRODUCT($J$62:DI$62,$J22:DI22)&lt;0.5, "Pending", IF(DI22&lt;0.5, "Complete", "In Progress"))</f>
        <v>Complete</v>
      </c>
      <c r="DK22" s="22">
        <v>0</v>
      </c>
      <c r="DL22" s="22">
        <f t="shared" ref="DL22" si="86">MAX(DI22-DK22,0)</f>
        <v>0</v>
      </c>
      <c r="DM22" s="23" t="str">
        <f>IF(SUMPRODUCT($J$62:DL$62,$J22:DL22)&lt;0.5, "Pending", IF(DL22&lt;0.5, "Complete", "In Progress"))</f>
        <v>Complete</v>
      </c>
      <c r="DN22" s="22">
        <v>0</v>
      </c>
      <c r="DO22" s="22">
        <f t="shared" ref="DO22" si="87">MAX(DL22-DN22,0)</f>
        <v>0</v>
      </c>
      <c r="DP22" s="23" t="str">
        <f>IF(SUMPRODUCT($J$62:DO$62,$J22:DO22)&lt;0.5, "Pending", IF(DO22&lt;0.5, "Complete", "In Progress"))</f>
        <v>Complete</v>
      </c>
      <c r="DQ22" s="22">
        <v>0</v>
      </c>
      <c r="DR22" s="22">
        <f t="shared" ref="DR22" si="88">MAX(DO22-DQ22,0)</f>
        <v>0</v>
      </c>
      <c r="DS22" s="23" t="str">
        <f>IF(SUMPRODUCT($J$62:DR$62,$J22:DR22)&lt;0.5, "Pending", IF(DR22&lt;0.5, "Complete", "In Progress"))</f>
        <v>Complete</v>
      </c>
      <c r="DT22" s="22">
        <v>0</v>
      </c>
      <c r="DU22" s="22">
        <f t="shared" ref="DU22" si="89">MAX(DR22-DT22,0)</f>
        <v>0</v>
      </c>
      <c r="DV22" s="23" t="str">
        <f>IF(SUMPRODUCT($J$62:DU$62,$J22:DU22)&lt;0.5, "Pending", IF(DU22&lt;0.5, "Complete", "In Progress"))</f>
        <v>Complete</v>
      </c>
      <c r="DW22" s="22">
        <v>0</v>
      </c>
      <c r="DX22" s="22">
        <f t="shared" ref="DX22" si="90">MAX(DU22-DW22,0)</f>
        <v>0</v>
      </c>
      <c r="DY22" s="23" t="str">
        <f>IF(SUMPRODUCT($J$62:DX$62,$J22:DX22)&lt;0.5, "Pending", IF(DX22&lt;0.5, "Complete", "In Progress"))</f>
        <v>Complete</v>
      </c>
      <c r="DZ22" s="24"/>
      <c r="EA22" s="25">
        <f>SUMPRODUCT($H$62:DG$62,$H22:DG22)</f>
        <v>24</v>
      </c>
    </row>
    <row r="23" spans="1:131" x14ac:dyDescent="0.25">
      <c r="A23" s="16" t="s">
        <v>119</v>
      </c>
      <c r="B23" s="16" t="s">
        <v>136</v>
      </c>
      <c r="C23" s="16" t="s">
        <v>121</v>
      </c>
      <c r="D23" s="17">
        <v>6</v>
      </c>
      <c r="E23" s="199" t="s">
        <v>142</v>
      </c>
      <c r="F23" s="18" t="s">
        <v>129</v>
      </c>
      <c r="G23" s="19" t="str">
        <f t="shared" ca="1" si="0"/>
        <v>Complete</v>
      </c>
      <c r="H23" s="20">
        <v>1</v>
      </c>
      <c r="I23" s="21">
        <v>24</v>
      </c>
      <c r="J23" s="22">
        <v>24</v>
      </c>
      <c r="K23" s="22">
        <f t="shared" si="11"/>
        <v>0</v>
      </c>
      <c r="L23" s="23" t="str">
        <f>IF(SUMPRODUCT($J$62:K$62,$J23:K23)&lt;0.5, "Pending", IF(K23&lt;0.5, "Complete", "In Progress"))</f>
        <v>Complete</v>
      </c>
      <c r="M23" s="22">
        <v>0</v>
      </c>
      <c r="N23" s="22">
        <f t="shared" si="12"/>
        <v>0</v>
      </c>
      <c r="O23" s="23" t="str">
        <f>IF(SUMPRODUCT($J$62:N$62,$J23:N23)&lt;0.5, "Pending", IF(N23&lt;0.5, "Complete", "In Progress"))</f>
        <v>Complete</v>
      </c>
      <c r="P23" s="22">
        <v>0</v>
      </c>
      <c r="Q23" s="22">
        <f t="shared" si="13"/>
        <v>0</v>
      </c>
      <c r="R23" s="23" t="str">
        <f>IF(SUMPRODUCT($J$62:Q$62,$J23:Q23)&lt;0.5, "Pending", IF(Q23&lt;0.5, "Complete", "In Progress"))</f>
        <v>Complete</v>
      </c>
      <c r="S23" s="22">
        <v>0</v>
      </c>
      <c r="T23" s="22">
        <f t="shared" si="14"/>
        <v>0</v>
      </c>
      <c r="U23" s="23" t="str">
        <f>IF(SUMPRODUCT($J$62:T$62,$J23:T23)&lt;0.5, "Pending", IF(T23&lt;0.5, "Complete", "In Progress"))</f>
        <v>Complete</v>
      </c>
      <c r="V23" s="22">
        <v>0</v>
      </c>
      <c r="W23" s="22">
        <f t="shared" si="15"/>
        <v>0</v>
      </c>
      <c r="X23" s="23" t="str">
        <f>IF(SUMPRODUCT($J$62:W$62,$J23:W23)&lt;0.5, "Pending", IF(W23&lt;0.5, "Complete", "In Progress"))</f>
        <v>Complete</v>
      </c>
      <c r="Y23" s="22">
        <v>0</v>
      </c>
      <c r="Z23" s="22">
        <f t="shared" si="16"/>
        <v>0</v>
      </c>
      <c r="AA23" s="23" t="str">
        <f>IF(SUMPRODUCT($J$62:Z$62,$J23:Z23)&lt;0.5, "Pending", IF(Z23&lt;0.5, "Complete", "In Progress"))</f>
        <v>Complete</v>
      </c>
      <c r="AB23" s="22">
        <v>0</v>
      </c>
      <c r="AC23" s="22">
        <f t="shared" si="17"/>
        <v>0</v>
      </c>
      <c r="AD23" s="23" t="str">
        <f>IF(SUMPRODUCT($J$62:AC$62,$J23:AC23)&lt;0.5, "Pending", IF(AC23&lt;0.5, "Complete", "In Progress"))</f>
        <v>Complete</v>
      </c>
      <c r="AE23" s="22">
        <v>0</v>
      </c>
      <c r="AF23" s="22">
        <f t="shared" si="18"/>
        <v>0</v>
      </c>
      <c r="AG23" s="23" t="str">
        <f>IF(SUMPRODUCT($J$62:AF$62,$J23:AF23)&lt;0.5, "Pending", IF(AF23&lt;0.5, "Complete", "In Progress"))</f>
        <v>Complete</v>
      </c>
      <c r="AH23" s="22">
        <v>0</v>
      </c>
      <c r="AI23" s="22">
        <f t="shared" si="19"/>
        <v>0</v>
      </c>
      <c r="AJ23" s="23" t="str">
        <f>IF(SUMPRODUCT($J$62:AI$62,$J23:AI23)&lt;0.5, "Pending", IF(AI23&lt;0.5, "Complete", "In Progress"))</f>
        <v>Complete</v>
      </c>
      <c r="AK23" s="22">
        <v>0</v>
      </c>
      <c r="AL23" s="22">
        <f t="shared" si="20"/>
        <v>0</v>
      </c>
      <c r="AM23" s="23" t="str">
        <f>IF(SUMPRODUCT($J$62:AL$62,$J23:AL23)&lt;0.5, "Pending", IF(AL23&lt;0.5, "Complete", "In Progress"))</f>
        <v>Complete</v>
      </c>
      <c r="AN23" s="22">
        <v>0</v>
      </c>
      <c r="AO23" s="22">
        <f t="shared" si="21"/>
        <v>0</v>
      </c>
      <c r="AP23" s="23" t="str">
        <f>IF(SUMPRODUCT($J$62:AO$62,$J23:AO23)&lt;0.5, "Pending", IF(AO23&lt;0.5, "Complete", "In Progress"))</f>
        <v>Complete</v>
      </c>
      <c r="AQ23" s="22">
        <v>0</v>
      </c>
      <c r="AR23" s="22">
        <f t="shared" si="22"/>
        <v>0</v>
      </c>
      <c r="AS23" s="23" t="str">
        <f>IF(SUMPRODUCT($J$62:AR$62,$J23:AR23)&lt;0.5, "Pending", IF(AR23&lt;0.5, "Complete", "In Progress"))</f>
        <v>Complete</v>
      </c>
      <c r="AT23" s="22">
        <v>0</v>
      </c>
      <c r="AU23" s="22">
        <f t="shared" si="23"/>
        <v>0</v>
      </c>
      <c r="AV23" s="23" t="str">
        <f>IF(SUMPRODUCT($J$62:AU$62,$J23:AU23)&lt;0.5, "Pending", IF(AU23&lt;0.5, "Complete", "In Progress"))</f>
        <v>Complete</v>
      </c>
      <c r="AW23" s="22">
        <v>0</v>
      </c>
      <c r="AX23" s="22">
        <f t="shared" si="24"/>
        <v>0</v>
      </c>
      <c r="AY23" s="23" t="str">
        <f>IF(SUMPRODUCT($J$62:AX$62,$J23:AX23)&lt;0.5, "Pending", IF(AX23&lt;0.5, "Complete", "In Progress"))</f>
        <v>Complete</v>
      </c>
      <c r="AZ23" s="22">
        <v>0</v>
      </c>
      <c r="BA23" s="22">
        <f t="shared" si="25"/>
        <v>0</v>
      </c>
      <c r="BB23" s="23" t="str">
        <f>IF(SUMPRODUCT($J$62:BA$62,$J23:BA23)&lt;0.5, "Pending", IF(BA23&lt;0.5, "Complete", "In Progress"))</f>
        <v>Complete</v>
      </c>
      <c r="BC23" s="22">
        <v>0</v>
      </c>
      <c r="BD23" s="22">
        <f t="shared" si="26"/>
        <v>0</v>
      </c>
      <c r="BE23" s="23" t="str">
        <f>IF(SUMPRODUCT($J$62:BD$62,$J23:BD23)&lt;0.5, "Pending", IF(BD23&lt;0.5, "Complete", "In Progress"))</f>
        <v>Complete</v>
      </c>
      <c r="BF23" s="22">
        <v>0</v>
      </c>
      <c r="BG23" s="22">
        <f t="shared" si="27"/>
        <v>0</v>
      </c>
      <c r="BH23" s="23" t="str">
        <f>IF(SUMPRODUCT($J$62:BG$62,$J23:BG23)&lt;0.5, "Pending", IF(BG23&lt;0.5, "Complete", "In Progress"))</f>
        <v>Complete</v>
      </c>
      <c r="BI23" s="22">
        <v>0</v>
      </c>
      <c r="BJ23" s="22">
        <f t="shared" si="28"/>
        <v>0</v>
      </c>
      <c r="BK23" s="23" t="str">
        <f>IF(SUMPRODUCT($J$62:BJ$62,$J23:BJ23)&lt;0.5, "Pending", IF(BJ23&lt;0.5, "Complete", "In Progress"))</f>
        <v>Complete</v>
      </c>
      <c r="BL23" s="22">
        <v>0</v>
      </c>
      <c r="BM23" s="22">
        <f t="shared" si="29"/>
        <v>0</v>
      </c>
      <c r="BN23" s="23" t="str">
        <f>IF(SUMPRODUCT($J$62:BM$62,$J23:BM23)&lt;0.5, "Pending", IF(BM23&lt;0.5, "Complete", "In Progress"))</f>
        <v>Complete</v>
      </c>
      <c r="BO23" s="22">
        <v>0</v>
      </c>
      <c r="BP23" s="22">
        <f t="shared" si="30"/>
        <v>0</v>
      </c>
      <c r="BQ23" s="23" t="str">
        <f>IF(SUMPRODUCT($J$62:BP$62,$J23:BP23)&lt;0.5, "Pending", IF(BP23&lt;0.5, "Complete", "In Progress"))</f>
        <v>Complete</v>
      </c>
      <c r="BR23" s="22">
        <v>0</v>
      </c>
      <c r="BS23" s="22">
        <f t="shared" si="31"/>
        <v>0</v>
      </c>
      <c r="BT23" s="23" t="str">
        <f>IF(SUMPRODUCT($J$62:BS$62,$J23:BS23)&lt;0.5, "Pending", IF(BS23&lt;0.5, "Complete", "In Progress"))</f>
        <v>Complete</v>
      </c>
      <c r="BU23" s="22">
        <v>0</v>
      </c>
      <c r="BV23" s="22">
        <f t="shared" si="32"/>
        <v>0</v>
      </c>
      <c r="BW23" s="23" t="str">
        <f>IF(SUMPRODUCT($J$62:BV$62,$J23:BV23)&lt;0.5, "Pending", IF(BV23&lt;0.5, "Complete", "In Progress"))</f>
        <v>Complete</v>
      </c>
      <c r="BX23" s="22">
        <v>0</v>
      </c>
      <c r="BY23" s="22">
        <f t="shared" si="33"/>
        <v>0</v>
      </c>
      <c r="BZ23" s="23" t="str">
        <f>IF(SUMPRODUCT($J$62:BY$62,$J23:BY23)&lt;0.5, "Pending", IF(BY23&lt;0.5, "Complete", "In Progress"))</f>
        <v>Complete</v>
      </c>
      <c r="CA23" s="22">
        <v>0</v>
      </c>
      <c r="CB23" s="22">
        <f t="shared" si="34"/>
        <v>0</v>
      </c>
      <c r="CC23" s="23" t="str">
        <f>IF(SUMPRODUCT($J$62:CB$62,$J23:CB23)&lt;0.5, "Pending", IF(CB23&lt;0.5, "Complete", "In Progress"))</f>
        <v>Complete</v>
      </c>
      <c r="CD23" s="22">
        <v>0</v>
      </c>
      <c r="CE23" s="22">
        <f t="shared" si="35"/>
        <v>0</v>
      </c>
      <c r="CF23" s="23" t="str">
        <f>IF(SUMPRODUCT($J$62:CE$62,$J23:CE23)&lt;0.5, "Pending", IF(CE23&lt;0.5, "Complete", "In Progress"))</f>
        <v>Complete</v>
      </c>
      <c r="CG23" s="22">
        <v>0</v>
      </c>
      <c r="CH23" s="22">
        <f t="shared" si="36"/>
        <v>0</v>
      </c>
      <c r="CI23" s="23" t="str">
        <f>IF(SUMPRODUCT($J$62:CH$62,$J23:CH23)&lt;0.5, "Pending", IF(CH23&lt;0.5, "Complete", "In Progress"))</f>
        <v>Complete</v>
      </c>
      <c r="CJ23" s="22">
        <v>0</v>
      </c>
      <c r="CK23" s="22">
        <f t="shared" si="37"/>
        <v>0</v>
      </c>
      <c r="CL23" s="23" t="str">
        <f>IF(SUMPRODUCT($J$62:CK$62,$J23:CK23)&lt;0.5, "Pending", IF(CK23&lt;0.5, "Complete", "In Progress"))</f>
        <v>Complete</v>
      </c>
      <c r="CM23" s="22">
        <v>0</v>
      </c>
      <c r="CN23" s="22">
        <f t="shared" si="38"/>
        <v>0</v>
      </c>
      <c r="CO23" s="23" t="str">
        <f>IF(SUMPRODUCT($J$62:CN$62,$J23:CN23)&lt;0.5, "Pending", IF(CN23&lt;0.5, "Complete", "In Progress"))</f>
        <v>Complete</v>
      </c>
      <c r="CP23" s="22">
        <v>0</v>
      </c>
      <c r="CQ23" s="22">
        <f t="shared" si="39"/>
        <v>0</v>
      </c>
      <c r="CR23" s="23" t="str">
        <f>IF(SUMPRODUCT($J$62:CQ$62,$J23:CQ23)&lt;0.5, "Pending", IF(CQ23&lt;0.5, "Complete", "In Progress"))</f>
        <v>Complete</v>
      </c>
      <c r="CS23" s="22">
        <v>0</v>
      </c>
      <c r="CT23" s="22">
        <f t="shared" si="40"/>
        <v>0</v>
      </c>
      <c r="CU23" s="23" t="str">
        <f>IF(SUMPRODUCT($J$62:CT$62,$J23:CT23)&lt;0.5, "Pending", IF(CT23&lt;0.5, "Complete", "In Progress"))</f>
        <v>Complete</v>
      </c>
      <c r="CV23" s="22">
        <v>0</v>
      </c>
      <c r="CW23" s="22">
        <f t="shared" si="41"/>
        <v>0</v>
      </c>
      <c r="CX23" s="23" t="str">
        <f>IF(SUMPRODUCT($J$62:CW$62,$J23:CW23)&lt;0.5, "Pending", IF(CW23&lt;0.5, "Complete", "In Progress"))</f>
        <v>Complete</v>
      </c>
      <c r="CY23" s="22">
        <v>0</v>
      </c>
      <c r="CZ23" s="22">
        <f t="shared" si="42"/>
        <v>0</v>
      </c>
      <c r="DA23" s="23" t="str">
        <f>IF(SUMPRODUCT($J$62:CZ$62,$J23:CZ23)&lt;0.5, "Pending", IF(CZ23&lt;0.5, "Complete", "In Progress"))</f>
        <v>Complete</v>
      </c>
      <c r="DB23" s="22">
        <v>0</v>
      </c>
      <c r="DC23" s="22">
        <f t="shared" si="43"/>
        <v>0</v>
      </c>
      <c r="DD23" s="23" t="str">
        <f>IF(SUMPRODUCT($J$62:DC$62,$J23:DC23)&lt;0.5, "Pending", IF(DC23&lt;0.5, "Complete", "In Progress"))</f>
        <v>Complete</v>
      </c>
      <c r="DE23" s="22">
        <v>0</v>
      </c>
      <c r="DF23" s="22">
        <f t="shared" si="44"/>
        <v>0</v>
      </c>
      <c r="DG23" s="23" t="str">
        <f>IF(SUMPRODUCT($J$62:DF$62,$J23:DF23)&lt;0.5, "Pending", IF(DF23&lt;0.5, "Complete", "In Progress"))</f>
        <v>Complete</v>
      </c>
      <c r="DH23" s="22">
        <v>0</v>
      </c>
      <c r="DI23" s="22">
        <f t="shared" si="45"/>
        <v>0</v>
      </c>
      <c r="DJ23" s="23" t="str">
        <f>IF(SUMPRODUCT($J$62:DI$62,$J23:DI23)&lt;0.5, "Pending", IF(DI23&lt;0.5, "Complete", "In Progress"))</f>
        <v>Complete</v>
      </c>
      <c r="DK23" s="22">
        <v>0</v>
      </c>
      <c r="DL23" s="22">
        <f t="shared" si="46"/>
        <v>0</v>
      </c>
      <c r="DM23" s="23" t="str">
        <f>IF(SUMPRODUCT($J$62:DL$62,$J23:DL23)&lt;0.5, "Pending", IF(DL23&lt;0.5, "Complete", "In Progress"))</f>
        <v>Complete</v>
      </c>
      <c r="DN23" s="22">
        <v>0</v>
      </c>
      <c r="DO23" s="22">
        <f t="shared" si="47"/>
        <v>0</v>
      </c>
      <c r="DP23" s="23" t="str">
        <f>IF(SUMPRODUCT($J$62:DO$62,$J23:DO23)&lt;0.5, "Pending", IF(DO23&lt;0.5, "Complete", "In Progress"))</f>
        <v>Complete</v>
      </c>
      <c r="DQ23" s="22">
        <v>0</v>
      </c>
      <c r="DR23" s="22">
        <f t="shared" si="48"/>
        <v>0</v>
      </c>
      <c r="DS23" s="23" t="str">
        <f>IF(SUMPRODUCT($J$62:DR$62,$J23:DR23)&lt;0.5, "Pending", IF(DR23&lt;0.5, "Complete", "In Progress"))</f>
        <v>Complete</v>
      </c>
      <c r="DT23" s="22">
        <v>0</v>
      </c>
      <c r="DU23" s="22">
        <f t="shared" si="49"/>
        <v>0</v>
      </c>
      <c r="DV23" s="23" t="str">
        <f>IF(SUMPRODUCT($J$62:DU$62,$J23:DU23)&lt;0.5, "Pending", IF(DU23&lt;0.5, "Complete", "In Progress"))</f>
        <v>Complete</v>
      </c>
      <c r="DW23" s="22">
        <v>0</v>
      </c>
      <c r="DX23" s="22">
        <f t="shared" si="50"/>
        <v>0</v>
      </c>
      <c r="DY23" s="23" t="str">
        <f>IF(SUMPRODUCT($J$62:DX$62,$J23:DX23)&lt;0.5, "Pending", IF(DX23&lt;0.5, "Complete", "In Progress"))</f>
        <v>Complete</v>
      </c>
      <c r="DZ23" s="24"/>
      <c r="EA23" s="25">
        <f>SUMPRODUCT($H$62:DG$62,$H23:DG23)</f>
        <v>24</v>
      </c>
    </row>
    <row r="24" spans="1:131" x14ac:dyDescent="0.25">
      <c r="A24" s="16" t="s">
        <v>138</v>
      </c>
      <c r="B24" s="16" t="s">
        <v>136</v>
      </c>
      <c r="C24" s="16" t="s">
        <v>121</v>
      </c>
      <c r="D24" s="17">
        <v>6</v>
      </c>
      <c r="E24" s="199" t="s">
        <v>143</v>
      </c>
      <c r="F24" s="18" t="s">
        <v>123</v>
      </c>
      <c r="G24" s="19" t="str">
        <f t="shared" ca="1" si="0"/>
        <v>Complete</v>
      </c>
      <c r="H24" s="20">
        <v>1</v>
      </c>
      <c r="I24" s="21">
        <v>12</v>
      </c>
      <c r="J24" s="22">
        <v>12</v>
      </c>
      <c r="K24" s="22">
        <f t="shared" si="11"/>
        <v>0</v>
      </c>
      <c r="L24" s="23" t="str">
        <f>IF(SUMPRODUCT($J$62:K$62,$J24:K24)&lt;0.5, "Pending", IF(K24&lt;0.5, "Complete", "In Progress"))</f>
        <v>Complete</v>
      </c>
      <c r="M24" s="22">
        <v>0</v>
      </c>
      <c r="N24" s="22">
        <f t="shared" si="12"/>
        <v>0</v>
      </c>
      <c r="O24" s="23" t="str">
        <f>IF(SUMPRODUCT($J$62:N$62,$J24:N24)&lt;0.5, "Pending", IF(N24&lt;0.5, "Complete", "In Progress"))</f>
        <v>Complete</v>
      </c>
      <c r="P24" s="22">
        <v>0</v>
      </c>
      <c r="Q24" s="22">
        <f t="shared" si="13"/>
        <v>0</v>
      </c>
      <c r="R24" s="23" t="str">
        <f>IF(SUMPRODUCT($J$62:Q$62,$J24:Q24)&lt;0.5, "Pending", IF(Q24&lt;0.5, "Complete", "In Progress"))</f>
        <v>Complete</v>
      </c>
      <c r="S24" s="22">
        <v>0</v>
      </c>
      <c r="T24" s="22">
        <f t="shared" si="14"/>
        <v>0</v>
      </c>
      <c r="U24" s="23" t="str">
        <f>IF(SUMPRODUCT($J$62:T$62,$J24:T24)&lt;0.5, "Pending", IF(T24&lt;0.5, "Complete", "In Progress"))</f>
        <v>Complete</v>
      </c>
      <c r="V24" s="22">
        <v>0</v>
      </c>
      <c r="W24" s="22">
        <f t="shared" si="15"/>
        <v>0</v>
      </c>
      <c r="X24" s="23" t="str">
        <f>IF(SUMPRODUCT($J$62:W$62,$J24:W24)&lt;0.5, "Pending", IF(W24&lt;0.5, "Complete", "In Progress"))</f>
        <v>Complete</v>
      </c>
      <c r="Y24" s="22">
        <v>0</v>
      </c>
      <c r="Z24" s="22">
        <f t="shared" si="16"/>
        <v>0</v>
      </c>
      <c r="AA24" s="23" t="str">
        <f>IF(SUMPRODUCT($J$62:Z$62,$J24:Z24)&lt;0.5, "Pending", IF(Z24&lt;0.5, "Complete", "In Progress"))</f>
        <v>Complete</v>
      </c>
      <c r="AB24" s="22">
        <v>0</v>
      </c>
      <c r="AC24" s="22">
        <f t="shared" si="17"/>
        <v>0</v>
      </c>
      <c r="AD24" s="23" t="str">
        <f>IF(SUMPRODUCT($J$62:AC$62,$J24:AC24)&lt;0.5, "Pending", IF(AC24&lt;0.5, "Complete", "In Progress"))</f>
        <v>Complete</v>
      </c>
      <c r="AE24" s="22">
        <v>0</v>
      </c>
      <c r="AF24" s="22">
        <f t="shared" si="18"/>
        <v>0</v>
      </c>
      <c r="AG24" s="23" t="str">
        <f>IF(SUMPRODUCT($J$62:AF$62,$J24:AF24)&lt;0.5, "Pending", IF(AF24&lt;0.5, "Complete", "In Progress"))</f>
        <v>Complete</v>
      </c>
      <c r="AH24" s="22">
        <v>0</v>
      </c>
      <c r="AI24" s="22">
        <f t="shared" si="19"/>
        <v>0</v>
      </c>
      <c r="AJ24" s="23" t="str">
        <f>IF(SUMPRODUCT($J$62:AI$62,$J24:AI24)&lt;0.5, "Pending", IF(AI24&lt;0.5, "Complete", "In Progress"))</f>
        <v>Complete</v>
      </c>
      <c r="AK24" s="22">
        <v>0</v>
      </c>
      <c r="AL24" s="22">
        <f t="shared" si="20"/>
        <v>0</v>
      </c>
      <c r="AM24" s="23" t="str">
        <f>IF(SUMPRODUCT($J$62:AL$62,$J24:AL24)&lt;0.5, "Pending", IF(AL24&lt;0.5, "Complete", "In Progress"))</f>
        <v>Complete</v>
      </c>
      <c r="AN24" s="22">
        <v>0</v>
      </c>
      <c r="AO24" s="22">
        <f t="shared" si="21"/>
        <v>0</v>
      </c>
      <c r="AP24" s="23" t="str">
        <f>IF(SUMPRODUCT($J$62:AO$62,$J24:AO24)&lt;0.5, "Pending", IF(AO24&lt;0.5, "Complete", "In Progress"))</f>
        <v>Complete</v>
      </c>
      <c r="AQ24" s="22">
        <v>0</v>
      </c>
      <c r="AR24" s="22">
        <f t="shared" si="22"/>
        <v>0</v>
      </c>
      <c r="AS24" s="23" t="str">
        <f>IF(SUMPRODUCT($J$62:AR$62,$J24:AR24)&lt;0.5, "Pending", IF(AR24&lt;0.5, "Complete", "In Progress"))</f>
        <v>Complete</v>
      </c>
      <c r="AT24" s="22">
        <v>0</v>
      </c>
      <c r="AU24" s="22">
        <f t="shared" si="23"/>
        <v>0</v>
      </c>
      <c r="AV24" s="23" t="str">
        <f>IF(SUMPRODUCT($J$62:AU$62,$J24:AU24)&lt;0.5, "Pending", IF(AU24&lt;0.5, "Complete", "In Progress"))</f>
        <v>Complete</v>
      </c>
      <c r="AW24" s="22">
        <v>0</v>
      </c>
      <c r="AX24" s="22">
        <f t="shared" si="24"/>
        <v>0</v>
      </c>
      <c r="AY24" s="23" t="str">
        <f>IF(SUMPRODUCT($J$62:AX$62,$J24:AX24)&lt;0.5, "Pending", IF(AX24&lt;0.5, "Complete", "In Progress"))</f>
        <v>Complete</v>
      </c>
      <c r="AZ24" s="22">
        <v>0</v>
      </c>
      <c r="BA24" s="22">
        <f t="shared" si="25"/>
        <v>0</v>
      </c>
      <c r="BB24" s="23" t="str">
        <f>IF(SUMPRODUCT($J$62:BA$62,$J24:BA24)&lt;0.5, "Pending", IF(BA24&lt;0.5, "Complete", "In Progress"))</f>
        <v>Complete</v>
      </c>
      <c r="BC24" s="22">
        <v>0</v>
      </c>
      <c r="BD24" s="22">
        <f t="shared" si="26"/>
        <v>0</v>
      </c>
      <c r="BE24" s="23" t="str">
        <f>IF(SUMPRODUCT($J$62:BD$62,$J24:BD24)&lt;0.5, "Pending", IF(BD24&lt;0.5, "Complete", "In Progress"))</f>
        <v>Complete</v>
      </c>
      <c r="BF24" s="22">
        <v>0</v>
      </c>
      <c r="BG24" s="22">
        <f t="shared" si="27"/>
        <v>0</v>
      </c>
      <c r="BH24" s="23" t="str">
        <f>IF(SUMPRODUCT($J$62:BG$62,$J24:BG24)&lt;0.5, "Pending", IF(BG24&lt;0.5, "Complete", "In Progress"))</f>
        <v>Complete</v>
      </c>
      <c r="BI24" s="22">
        <v>0</v>
      </c>
      <c r="BJ24" s="22">
        <f t="shared" si="28"/>
        <v>0</v>
      </c>
      <c r="BK24" s="23" t="str">
        <f>IF(SUMPRODUCT($J$62:BJ$62,$J24:BJ24)&lt;0.5, "Pending", IF(BJ24&lt;0.5, "Complete", "In Progress"))</f>
        <v>Complete</v>
      </c>
      <c r="BL24" s="22">
        <v>0</v>
      </c>
      <c r="BM24" s="22">
        <f t="shared" si="29"/>
        <v>0</v>
      </c>
      <c r="BN24" s="23" t="str">
        <f>IF(SUMPRODUCT($J$62:BM$62,$J24:BM24)&lt;0.5, "Pending", IF(BM24&lt;0.5, "Complete", "In Progress"))</f>
        <v>Complete</v>
      </c>
      <c r="BO24" s="22">
        <v>0</v>
      </c>
      <c r="BP24" s="22">
        <f t="shared" si="30"/>
        <v>0</v>
      </c>
      <c r="BQ24" s="23" t="str">
        <f>IF(SUMPRODUCT($J$62:BP$62,$J24:BP24)&lt;0.5, "Pending", IF(BP24&lt;0.5, "Complete", "In Progress"))</f>
        <v>Complete</v>
      </c>
      <c r="BR24" s="22">
        <v>0</v>
      </c>
      <c r="BS24" s="22">
        <f t="shared" si="31"/>
        <v>0</v>
      </c>
      <c r="BT24" s="23" t="str">
        <f>IF(SUMPRODUCT($J$62:BS$62,$J24:BS24)&lt;0.5, "Pending", IF(BS24&lt;0.5, "Complete", "In Progress"))</f>
        <v>Complete</v>
      </c>
      <c r="BU24" s="22">
        <v>0</v>
      </c>
      <c r="BV24" s="22">
        <f t="shared" si="32"/>
        <v>0</v>
      </c>
      <c r="BW24" s="23" t="str">
        <f>IF(SUMPRODUCT($J$62:BV$62,$J24:BV24)&lt;0.5, "Pending", IF(BV24&lt;0.5, "Complete", "In Progress"))</f>
        <v>Complete</v>
      </c>
      <c r="BX24" s="22">
        <v>0</v>
      </c>
      <c r="BY24" s="22">
        <f t="shared" si="33"/>
        <v>0</v>
      </c>
      <c r="BZ24" s="23" t="str">
        <f>IF(SUMPRODUCT($J$62:BY$62,$J24:BY24)&lt;0.5, "Pending", IF(BY24&lt;0.5, "Complete", "In Progress"))</f>
        <v>Complete</v>
      </c>
      <c r="CA24" s="22">
        <v>0</v>
      </c>
      <c r="CB24" s="22">
        <f t="shared" si="34"/>
        <v>0</v>
      </c>
      <c r="CC24" s="23" t="str">
        <f>IF(SUMPRODUCT($J$62:CB$62,$J24:CB24)&lt;0.5, "Pending", IF(CB24&lt;0.5, "Complete", "In Progress"))</f>
        <v>Complete</v>
      </c>
      <c r="CD24" s="22">
        <v>0</v>
      </c>
      <c r="CE24" s="22">
        <f t="shared" si="35"/>
        <v>0</v>
      </c>
      <c r="CF24" s="23" t="str">
        <f>IF(SUMPRODUCT($J$62:CE$62,$J24:CE24)&lt;0.5, "Pending", IF(CE24&lt;0.5, "Complete", "In Progress"))</f>
        <v>Complete</v>
      </c>
      <c r="CG24" s="22">
        <v>0</v>
      </c>
      <c r="CH24" s="22">
        <f t="shared" si="36"/>
        <v>0</v>
      </c>
      <c r="CI24" s="23" t="str">
        <f>IF(SUMPRODUCT($J$62:CH$62,$J24:CH24)&lt;0.5, "Pending", IF(CH24&lt;0.5, "Complete", "In Progress"))</f>
        <v>Complete</v>
      </c>
      <c r="CJ24" s="22">
        <v>0</v>
      </c>
      <c r="CK24" s="22">
        <f t="shared" si="37"/>
        <v>0</v>
      </c>
      <c r="CL24" s="23" t="str">
        <f>IF(SUMPRODUCT($J$62:CK$62,$J24:CK24)&lt;0.5, "Pending", IF(CK24&lt;0.5, "Complete", "In Progress"))</f>
        <v>Complete</v>
      </c>
      <c r="CM24" s="22">
        <v>0</v>
      </c>
      <c r="CN24" s="22">
        <f t="shared" si="38"/>
        <v>0</v>
      </c>
      <c r="CO24" s="23" t="str">
        <f>IF(SUMPRODUCT($J$62:CN$62,$J24:CN24)&lt;0.5, "Pending", IF(CN24&lt;0.5, "Complete", "In Progress"))</f>
        <v>Complete</v>
      </c>
      <c r="CP24" s="22">
        <v>0</v>
      </c>
      <c r="CQ24" s="22">
        <f t="shared" si="39"/>
        <v>0</v>
      </c>
      <c r="CR24" s="23" t="str">
        <f>IF(SUMPRODUCT($J$62:CQ$62,$J24:CQ24)&lt;0.5, "Pending", IF(CQ24&lt;0.5, "Complete", "In Progress"))</f>
        <v>Complete</v>
      </c>
      <c r="CS24" s="22">
        <v>0</v>
      </c>
      <c r="CT24" s="22">
        <f t="shared" si="40"/>
        <v>0</v>
      </c>
      <c r="CU24" s="23" t="str">
        <f>IF(SUMPRODUCT($J$62:CT$62,$J24:CT24)&lt;0.5, "Pending", IF(CT24&lt;0.5, "Complete", "In Progress"))</f>
        <v>Complete</v>
      </c>
      <c r="CV24" s="22">
        <v>0</v>
      </c>
      <c r="CW24" s="22">
        <f t="shared" si="41"/>
        <v>0</v>
      </c>
      <c r="CX24" s="23" t="str">
        <f>IF(SUMPRODUCT($J$62:CW$62,$J24:CW24)&lt;0.5, "Pending", IF(CW24&lt;0.5, "Complete", "In Progress"))</f>
        <v>Complete</v>
      </c>
      <c r="CY24" s="22">
        <v>0</v>
      </c>
      <c r="CZ24" s="22">
        <f t="shared" si="42"/>
        <v>0</v>
      </c>
      <c r="DA24" s="23" t="str">
        <f>IF(SUMPRODUCT($J$62:CZ$62,$J24:CZ24)&lt;0.5, "Pending", IF(CZ24&lt;0.5, "Complete", "In Progress"))</f>
        <v>Complete</v>
      </c>
      <c r="DB24" s="22">
        <v>0</v>
      </c>
      <c r="DC24" s="22">
        <f t="shared" si="43"/>
        <v>0</v>
      </c>
      <c r="DD24" s="23" t="str">
        <f>IF(SUMPRODUCT($J$62:DC$62,$J24:DC24)&lt;0.5, "Pending", IF(DC24&lt;0.5, "Complete", "In Progress"))</f>
        <v>Complete</v>
      </c>
      <c r="DE24" s="22">
        <v>0</v>
      </c>
      <c r="DF24" s="22">
        <f t="shared" si="44"/>
        <v>0</v>
      </c>
      <c r="DG24" s="23" t="str">
        <f>IF(SUMPRODUCT($J$62:DF$62,$J24:DF24)&lt;0.5, "Pending", IF(DF24&lt;0.5, "Complete", "In Progress"))</f>
        <v>Complete</v>
      </c>
      <c r="DH24" s="22">
        <v>0</v>
      </c>
      <c r="DI24" s="22">
        <f t="shared" si="45"/>
        <v>0</v>
      </c>
      <c r="DJ24" s="23" t="str">
        <f>IF(SUMPRODUCT($J$62:DI$62,$J24:DI24)&lt;0.5, "Pending", IF(DI24&lt;0.5, "Complete", "In Progress"))</f>
        <v>Complete</v>
      </c>
      <c r="DK24" s="22">
        <v>0</v>
      </c>
      <c r="DL24" s="22">
        <f t="shared" si="46"/>
        <v>0</v>
      </c>
      <c r="DM24" s="23" t="str">
        <f>IF(SUMPRODUCT($J$62:DL$62,$J24:DL24)&lt;0.5, "Pending", IF(DL24&lt;0.5, "Complete", "In Progress"))</f>
        <v>Complete</v>
      </c>
      <c r="DN24" s="22">
        <v>0</v>
      </c>
      <c r="DO24" s="22">
        <f t="shared" si="47"/>
        <v>0</v>
      </c>
      <c r="DP24" s="23" t="str">
        <f>IF(SUMPRODUCT($J$62:DO$62,$J24:DO24)&lt;0.5, "Pending", IF(DO24&lt;0.5, "Complete", "In Progress"))</f>
        <v>Complete</v>
      </c>
      <c r="DQ24" s="22">
        <v>0</v>
      </c>
      <c r="DR24" s="22">
        <f t="shared" si="48"/>
        <v>0</v>
      </c>
      <c r="DS24" s="23" t="str">
        <f>IF(SUMPRODUCT($J$62:DR$62,$J24:DR24)&lt;0.5, "Pending", IF(DR24&lt;0.5, "Complete", "In Progress"))</f>
        <v>Complete</v>
      </c>
      <c r="DT24" s="22">
        <v>0</v>
      </c>
      <c r="DU24" s="22">
        <f t="shared" si="49"/>
        <v>0</v>
      </c>
      <c r="DV24" s="23" t="str">
        <f>IF(SUMPRODUCT($J$62:DU$62,$J24:DU24)&lt;0.5, "Pending", IF(DU24&lt;0.5, "Complete", "In Progress"))</f>
        <v>Complete</v>
      </c>
      <c r="DW24" s="22">
        <v>0</v>
      </c>
      <c r="DX24" s="22">
        <f t="shared" si="50"/>
        <v>0</v>
      </c>
      <c r="DY24" s="23" t="str">
        <f>IF(SUMPRODUCT($J$62:DX$62,$J24:DX24)&lt;0.5, "Pending", IF(DX24&lt;0.5, "Complete", "In Progress"))</f>
        <v>Complete</v>
      </c>
      <c r="DZ24" s="24"/>
      <c r="EA24" s="25">
        <f>SUMPRODUCT($H$62:DG$62,$H24:DG24)</f>
        <v>12</v>
      </c>
    </row>
    <row r="25" spans="1:131" x14ac:dyDescent="0.25">
      <c r="A25" s="16" t="s">
        <v>138</v>
      </c>
      <c r="B25" s="16" t="s">
        <v>136</v>
      </c>
      <c r="C25" s="16" t="s">
        <v>121</v>
      </c>
      <c r="D25" s="17">
        <v>6</v>
      </c>
      <c r="E25" s="199" t="s">
        <v>143</v>
      </c>
      <c r="F25" s="18" t="s">
        <v>129</v>
      </c>
      <c r="G25" s="19" t="str">
        <f t="shared" ca="1" si="0"/>
        <v>Complete</v>
      </c>
      <c r="H25" s="20">
        <v>1</v>
      </c>
      <c r="I25" s="21">
        <v>12</v>
      </c>
      <c r="J25" s="22">
        <v>12</v>
      </c>
      <c r="K25" s="22">
        <f t="shared" si="11"/>
        <v>0</v>
      </c>
      <c r="L25" s="23" t="str">
        <f>IF(SUMPRODUCT($J$62:K$62,$J25:K25)&lt;0.5, "Pending", IF(K25&lt;0.5, "Complete", "In Progress"))</f>
        <v>Complete</v>
      </c>
      <c r="M25" s="22">
        <v>0</v>
      </c>
      <c r="N25" s="22">
        <f t="shared" si="12"/>
        <v>0</v>
      </c>
      <c r="O25" s="23" t="str">
        <f>IF(SUMPRODUCT($J$62:N$62,$J25:N25)&lt;0.5, "Pending", IF(N25&lt;0.5, "Complete", "In Progress"))</f>
        <v>Complete</v>
      </c>
      <c r="P25" s="22">
        <v>0</v>
      </c>
      <c r="Q25" s="22">
        <f t="shared" si="13"/>
        <v>0</v>
      </c>
      <c r="R25" s="23" t="str">
        <f>IF(SUMPRODUCT($J$62:Q$62,$J25:Q25)&lt;0.5, "Pending", IF(Q25&lt;0.5, "Complete", "In Progress"))</f>
        <v>Complete</v>
      </c>
      <c r="S25" s="22">
        <v>0</v>
      </c>
      <c r="T25" s="22">
        <f t="shared" si="14"/>
        <v>0</v>
      </c>
      <c r="U25" s="23" t="str">
        <f>IF(SUMPRODUCT($J$62:T$62,$J25:T25)&lt;0.5, "Pending", IF(T25&lt;0.5, "Complete", "In Progress"))</f>
        <v>Complete</v>
      </c>
      <c r="V25" s="22">
        <v>0</v>
      </c>
      <c r="W25" s="22">
        <f t="shared" si="15"/>
        <v>0</v>
      </c>
      <c r="X25" s="23" t="str">
        <f>IF(SUMPRODUCT($J$62:W$62,$J25:W25)&lt;0.5, "Pending", IF(W25&lt;0.5, "Complete", "In Progress"))</f>
        <v>Complete</v>
      </c>
      <c r="Y25" s="22">
        <v>0</v>
      </c>
      <c r="Z25" s="22">
        <f t="shared" si="16"/>
        <v>0</v>
      </c>
      <c r="AA25" s="23" t="str">
        <f>IF(SUMPRODUCT($J$62:Z$62,$J25:Z25)&lt;0.5, "Pending", IF(Z25&lt;0.5, "Complete", "In Progress"))</f>
        <v>Complete</v>
      </c>
      <c r="AB25" s="22">
        <v>0</v>
      </c>
      <c r="AC25" s="22">
        <f t="shared" si="17"/>
        <v>0</v>
      </c>
      <c r="AD25" s="23" t="str">
        <f>IF(SUMPRODUCT($J$62:AC$62,$J25:AC25)&lt;0.5, "Pending", IF(AC25&lt;0.5, "Complete", "In Progress"))</f>
        <v>Complete</v>
      </c>
      <c r="AE25" s="22">
        <v>0</v>
      </c>
      <c r="AF25" s="22">
        <f t="shared" si="18"/>
        <v>0</v>
      </c>
      <c r="AG25" s="23" t="str">
        <f>IF(SUMPRODUCT($J$62:AF$62,$J25:AF25)&lt;0.5, "Pending", IF(AF25&lt;0.5, "Complete", "In Progress"))</f>
        <v>Complete</v>
      </c>
      <c r="AH25" s="22">
        <v>0</v>
      </c>
      <c r="AI25" s="22">
        <f t="shared" si="19"/>
        <v>0</v>
      </c>
      <c r="AJ25" s="23" t="str">
        <f>IF(SUMPRODUCT($J$62:AI$62,$J25:AI25)&lt;0.5, "Pending", IF(AI25&lt;0.5, "Complete", "In Progress"))</f>
        <v>Complete</v>
      </c>
      <c r="AK25" s="22">
        <v>0</v>
      </c>
      <c r="AL25" s="22">
        <f t="shared" si="20"/>
        <v>0</v>
      </c>
      <c r="AM25" s="23" t="str">
        <f>IF(SUMPRODUCT($J$62:AL$62,$J25:AL25)&lt;0.5, "Pending", IF(AL25&lt;0.5, "Complete", "In Progress"))</f>
        <v>Complete</v>
      </c>
      <c r="AN25" s="22">
        <v>0</v>
      </c>
      <c r="AO25" s="22">
        <f t="shared" si="21"/>
        <v>0</v>
      </c>
      <c r="AP25" s="23" t="str">
        <f>IF(SUMPRODUCT($J$62:AO$62,$J25:AO25)&lt;0.5, "Pending", IF(AO25&lt;0.5, "Complete", "In Progress"))</f>
        <v>Complete</v>
      </c>
      <c r="AQ25" s="22">
        <v>0</v>
      </c>
      <c r="AR25" s="22">
        <f t="shared" si="22"/>
        <v>0</v>
      </c>
      <c r="AS25" s="23" t="str">
        <f>IF(SUMPRODUCT($J$62:AR$62,$J25:AR25)&lt;0.5, "Pending", IF(AR25&lt;0.5, "Complete", "In Progress"))</f>
        <v>Complete</v>
      </c>
      <c r="AT25" s="22">
        <v>0</v>
      </c>
      <c r="AU25" s="22">
        <f t="shared" si="23"/>
        <v>0</v>
      </c>
      <c r="AV25" s="23" t="str">
        <f>IF(SUMPRODUCT($J$62:AU$62,$J25:AU25)&lt;0.5, "Pending", IF(AU25&lt;0.5, "Complete", "In Progress"))</f>
        <v>Complete</v>
      </c>
      <c r="AW25" s="22">
        <v>0</v>
      </c>
      <c r="AX25" s="22">
        <f t="shared" si="24"/>
        <v>0</v>
      </c>
      <c r="AY25" s="23" t="str">
        <f>IF(SUMPRODUCT($J$62:AX$62,$J25:AX25)&lt;0.5, "Pending", IF(AX25&lt;0.5, "Complete", "In Progress"))</f>
        <v>Complete</v>
      </c>
      <c r="AZ25" s="22">
        <v>0</v>
      </c>
      <c r="BA25" s="22">
        <f t="shared" si="25"/>
        <v>0</v>
      </c>
      <c r="BB25" s="23" t="str">
        <f>IF(SUMPRODUCT($J$62:BA$62,$J25:BA25)&lt;0.5, "Pending", IF(BA25&lt;0.5, "Complete", "In Progress"))</f>
        <v>Complete</v>
      </c>
      <c r="BC25" s="22">
        <v>0</v>
      </c>
      <c r="BD25" s="22">
        <f t="shared" si="26"/>
        <v>0</v>
      </c>
      <c r="BE25" s="23" t="str">
        <f>IF(SUMPRODUCT($J$62:BD$62,$J25:BD25)&lt;0.5, "Pending", IF(BD25&lt;0.5, "Complete", "In Progress"))</f>
        <v>Complete</v>
      </c>
      <c r="BF25" s="22">
        <v>0</v>
      </c>
      <c r="BG25" s="22">
        <f t="shared" si="27"/>
        <v>0</v>
      </c>
      <c r="BH25" s="23" t="str">
        <f>IF(SUMPRODUCT($J$62:BG$62,$J25:BG25)&lt;0.5, "Pending", IF(BG25&lt;0.5, "Complete", "In Progress"))</f>
        <v>Complete</v>
      </c>
      <c r="BI25" s="22">
        <v>0</v>
      </c>
      <c r="BJ25" s="22">
        <f t="shared" si="28"/>
        <v>0</v>
      </c>
      <c r="BK25" s="23" t="str">
        <f>IF(SUMPRODUCT($J$62:BJ$62,$J25:BJ25)&lt;0.5, "Pending", IF(BJ25&lt;0.5, "Complete", "In Progress"))</f>
        <v>Complete</v>
      </c>
      <c r="BL25" s="22">
        <v>0</v>
      </c>
      <c r="BM25" s="22">
        <f t="shared" si="29"/>
        <v>0</v>
      </c>
      <c r="BN25" s="23" t="str">
        <f>IF(SUMPRODUCT($J$62:BM$62,$J25:BM25)&lt;0.5, "Pending", IF(BM25&lt;0.5, "Complete", "In Progress"))</f>
        <v>Complete</v>
      </c>
      <c r="BO25" s="22">
        <v>0</v>
      </c>
      <c r="BP25" s="22">
        <f t="shared" si="30"/>
        <v>0</v>
      </c>
      <c r="BQ25" s="23" t="str">
        <f>IF(SUMPRODUCT($J$62:BP$62,$J25:BP25)&lt;0.5, "Pending", IF(BP25&lt;0.5, "Complete", "In Progress"))</f>
        <v>Complete</v>
      </c>
      <c r="BR25" s="22">
        <v>0</v>
      </c>
      <c r="BS25" s="22">
        <f t="shared" si="31"/>
        <v>0</v>
      </c>
      <c r="BT25" s="23" t="str">
        <f>IF(SUMPRODUCT($J$62:BS$62,$J25:BS25)&lt;0.5, "Pending", IF(BS25&lt;0.5, "Complete", "In Progress"))</f>
        <v>Complete</v>
      </c>
      <c r="BU25" s="22">
        <v>0</v>
      </c>
      <c r="BV25" s="22">
        <f t="shared" si="32"/>
        <v>0</v>
      </c>
      <c r="BW25" s="23" t="str">
        <f>IF(SUMPRODUCT($J$62:BV$62,$J25:BV25)&lt;0.5, "Pending", IF(BV25&lt;0.5, "Complete", "In Progress"))</f>
        <v>Complete</v>
      </c>
      <c r="BX25" s="22">
        <v>0</v>
      </c>
      <c r="BY25" s="22">
        <f t="shared" si="33"/>
        <v>0</v>
      </c>
      <c r="BZ25" s="23" t="str">
        <f>IF(SUMPRODUCT($J$62:BY$62,$J25:BY25)&lt;0.5, "Pending", IF(BY25&lt;0.5, "Complete", "In Progress"))</f>
        <v>Complete</v>
      </c>
      <c r="CA25" s="22">
        <v>0</v>
      </c>
      <c r="CB25" s="22">
        <f t="shared" si="34"/>
        <v>0</v>
      </c>
      <c r="CC25" s="23" t="str">
        <f>IF(SUMPRODUCT($J$62:CB$62,$J25:CB25)&lt;0.5, "Pending", IF(CB25&lt;0.5, "Complete", "In Progress"))</f>
        <v>Complete</v>
      </c>
      <c r="CD25" s="22">
        <v>0</v>
      </c>
      <c r="CE25" s="22">
        <f t="shared" si="35"/>
        <v>0</v>
      </c>
      <c r="CF25" s="23" t="str">
        <f>IF(SUMPRODUCT($J$62:CE$62,$J25:CE25)&lt;0.5, "Pending", IF(CE25&lt;0.5, "Complete", "In Progress"))</f>
        <v>Complete</v>
      </c>
      <c r="CG25" s="22">
        <v>0</v>
      </c>
      <c r="CH25" s="22">
        <f t="shared" si="36"/>
        <v>0</v>
      </c>
      <c r="CI25" s="23" t="str">
        <f>IF(SUMPRODUCT($J$62:CH$62,$J25:CH25)&lt;0.5, "Pending", IF(CH25&lt;0.5, "Complete", "In Progress"))</f>
        <v>Complete</v>
      </c>
      <c r="CJ25" s="22">
        <v>0</v>
      </c>
      <c r="CK25" s="22">
        <f t="shared" si="37"/>
        <v>0</v>
      </c>
      <c r="CL25" s="23" t="str">
        <f>IF(SUMPRODUCT($J$62:CK$62,$J25:CK25)&lt;0.5, "Pending", IF(CK25&lt;0.5, "Complete", "In Progress"))</f>
        <v>Complete</v>
      </c>
      <c r="CM25" s="22">
        <v>0</v>
      </c>
      <c r="CN25" s="22">
        <f t="shared" si="38"/>
        <v>0</v>
      </c>
      <c r="CO25" s="23" t="str">
        <f>IF(SUMPRODUCT($J$62:CN$62,$J25:CN25)&lt;0.5, "Pending", IF(CN25&lt;0.5, "Complete", "In Progress"))</f>
        <v>Complete</v>
      </c>
      <c r="CP25" s="22">
        <v>0</v>
      </c>
      <c r="CQ25" s="22">
        <f t="shared" si="39"/>
        <v>0</v>
      </c>
      <c r="CR25" s="23" t="str">
        <f>IF(SUMPRODUCT($J$62:CQ$62,$J25:CQ25)&lt;0.5, "Pending", IF(CQ25&lt;0.5, "Complete", "In Progress"))</f>
        <v>Complete</v>
      </c>
      <c r="CS25" s="22">
        <v>0</v>
      </c>
      <c r="CT25" s="22">
        <f t="shared" si="40"/>
        <v>0</v>
      </c>
      <c r="CU25" s="23" t="str">
        <f>IF(SUMPRODUCT($J$62:CT$62,$J25:CT25)&lt;0.5, "Pending", IF(CT25&lt;0.5, "Complete", "In Progress"))</f>
        <v>Complete</v>
      </c>
      <c r="CV25" s="22">
        <v>0</v>
      </c>
      <c r="CW25" s="22">
        <f t="shared" si="41"/>
        <v>0</v>
      </c>
      <c r="CX25" s="23" t="str">
        <f>IF(SUMPRODUCT($J$62:CW$62,$J25:CW25)&lt;0.5, "Pending", IF(CW25&lt;0.5, "Complete", "In Progress"))</f>
        <v>Complete</v>
      </c>
      <c r="CY25" s="22">
        <v>0</v>
      </c>
      <c r="CZ25" s="22">
        <f t="shared" si="42"/>
        <v>0</v>
      </c>
      <c r="DA25" s="23" t="str">
        <f>IF(SUMPRODUCT($J$62:CZ$62,$J25:CZ25)&lt;0.5, "Pending", IF(CZ25&lt;0.5, "Complete", "In Progress"))</f>
        <v>Complete</v>
      </c>
      <c r="DB25" s="22">
        <v>0</v>
      </c>
      <c r="DC25" s="22">
        <f t="shared" si="43"/>
        <v>0</v>
      </c>
      <c r="DD25" s="23" t="str">
        <f>IF(SUMPRODUCT($J$62:DC$62,$J25:DC25)&lt;0.5, "Pending", IF(DC25&lt;0.5, "Complete", "In Progress"))</f>
        <v>Complete</v>
      </c>
      <c r="DE25" s="22">
        <v>0</v>
      </c>
      <c r="DF25" s="22">
        <f t="shared" si="44"/>
        <v>0</v>
      </c>
      <c r="DG25" s="23" t="str">
        <f>IF(SUMPRODUCT($J$62:DF$62,$J25:DF25)&lt;0.5, "Pending", IF(DF25&lt;0.5, "Complete", "In Progress"))</f>
        <v>Complete</v>
      </c>
      <c r="DH25" s="22">
        <v>0</v>
      </c>
      <c r="DI25" s="22">
        <f t="shared" si="45"/>
        <v>0</v>
      </c>
      <c r="DJ25" s="23" t="str">
        <f>IF(SUMPRODUCT($J$62:DI$62,$J25:DI25)&lt;0.5, "Pending", IF(DI25&lt;0.5, "Complete", "In Progress"))</f>
        <v>Complete</v>
      </c>
      <c r="DK25" s="22">
        <v>0</v>
      </c>
      <c r="DL25" s="22">
        <f t="shared" si="46"/>
        <v>0</v>
      </c>
      <c r="DM25" s="23" t="str">
        <f>IF(SUMPRODUCT($J$62:DL$62,$J25:DL25)&lt;0.5, "Pending", IF(DL25&lt;0.5, "Complete", "In Progress"))</f>
        <v>Complete</v>
      </c>
      <c r="DN25" s="22">
        <v>0</v>
      </c>
      <c r="DO25" s="22">
        <f t="shared" si="47"/>
        <v>0</v>
      </c>
      <c r="DP25" s="23" t="str">
        <f>IF(SUMPRODUCT($J$62:DO$62,$J25:DO25)&lt;0.5, "Pending", IF(DO25&lt;0.5, "Complete", "In Progress"))</f>
        <v>Complete</v>
      </c>
      <c r="DQ25" s="22">
        <v>0</v>
      </c>
      <c r="DR25" s="22">
        <f t="shared" si="48"/>
        <v>0</v>
      </c>
      <c r="DS25" s="23" t="str">
        <f>IF(SUMPRODUCT($J$62:DR$62,$J25:DR25)&lt;0.5, "Pending", IF(DR25&lt;0.5, "Complete", "In Progress"))</f>
        <v>Complete</v>
      </c>
      <c r="DT25" s="22">
        <v>0</v>
      </c>
      <c r="DU25" s="22">
        <f t="shared" si="49"/>
        <v>0</v>
      </c>
      <c r="DV25" s="23" t="str">
        <f>IF(SUMPRODUCT($J$62:DU$62,$J25:DU25)&lt;0.5, "Pending", IF(DU25&lt;0.5, "Complete", "In Progress"))</f>
        <v>Complete</v>
      </c>
      <c r="DW25" s="22">
        <v>0</v>
      </c>
      <c r="DX25" s="22">
        <f t="shared" si="50"/>
        <v>0</v>
      </c>
      <c r="DY25" s="23" t="str">
        <f>IF(SUMPRODUCT($J$62:DX$62,$J25:DX25)&lt;0.5, "Pending", IF(DX25&lt;0.5, "Complete", "In Progress"))</f>
        <v>Complete</v>
      </c>
      <c r="DZ25" s="24"/>
      <c r="EA25" s="25">
        <f>SUMPRODUCT($H$62:DG$62,$H25:DG25)</f>
        <v>12</v>
      </c>
    </row>
    <row r="26" spans="1:131" x14ac:dyDescent="0.25">
      <c r="A26" s="16" t="s">
        <v>124</v>
      </c>
      <c r="B26" s="16" t="s">
        <v>136</v>
      </c>
      <c r="C26" s="16" t="s">
        <v>121</v>
      </c>
      <c r="D26" s="17">
        <v>6</v>
      </c>
      <c r="E26" s="199" t="s">
        <v>144</v>
      </c>
      <c r="F26" s="18" t="s">
        <v>126</v>
      </c>
      <c r="G26" s="19" t="str">
        <f t="shared" ca="1" si="0"/>
        <v>Complete</v>
      </c>
      <c r="H26" s="20">
        <v>1</v>
      </c>
      <c r="I26" s="21">
        <v>4</v>
      </c>
      <c r="J26" s="22">
        <v>4</v>
      </c>
      <c r="K26" s="22">
        <f t="shared" ref="K26" si="91">MAX(I26-J26, 0)</f>
        <v>0</v>
      </c>
      <c r="L26" s="23" t="str">
        <f>IF(SUMPRODUCT($J$62:K$62,$J26:K26)&lt;0.5, "Pending", IF(K26&lt;0.5, "Complete", "In Progress"))</f>
        <v>Complete</v>
      </c>
      <c r="M26" s="22">
        <v>0</v>
      </c>
      <c r="N26" s="22">
        <f t="shared" ref="N26" si="92">MAX(K26-M26,0)</f>
        <v>0</v>
      </c>
      <c r="O26" s="23" t="str">
        <f>IF(SUMPRODUCT($J$62:N$62,$J26:N26)&lt;0.5, "Pending", IF(N26&lt;0.5, "Complete", "In Progress"))</f>
        <v>Complete</v>
      </c>
      <c r="P26" s="22">
        <v>0</v>
      </c>
      <c r="Q26" s="22">
        <f t="shared" ref="Q26" si="93">MAX(N26-P26,0)</f>
        <v>0</v>
      </c>
      <c r="R26" s="23" t="str">
        <f>IF(SUMPRODUCT($J$62:Q$62,$J26:Q26)&lt;0.5, "Pending", IF(Q26&lt;0.5, "Complete", "In Progress"))</f>
        <v>Complete</v>
      </c>
      <c r="S26" s="22">
        <v>0</v>
      </c>
      <c r="T26" s="22">
        <f t="shared" ref="T26" si="94">MAX(Q26-S26,0)</f>
        <v>0</v>
      </c>
      <c r="U26" s="23" t="str">
        <f>IF(SUMPRODUCT($J$62:T$62,$J26:T26)&lt;0.5, "Pending", IF(T26&lt;0.5, "Complete", "In Progress"))</f>
        <v>Complete</v>
      </c>
      <c r="V26" s="22">
        <v>0</v>
      </c>
      <c r="W26" s="22">
        <f t="shared" ref="W26" si="95">MAX(T26-V26,0)</f>
        <v>0</v>
      </c>
      <c r="X26" s="23" t="str">
        <f>IF(SUMPRODUCT($J$62:W$62,$J26:W26)&lt;0.5, "Pending", IF(W26&lt;0.5, "Complete", "In Progress"))</f>
        <v>Complete</v>
      </c>
      <c r="Y26" s="22">
        <v>0</v>
      </c>
      <c r="Z26" s="22">
        <f t="shared" ref="Z26" si="96">MAX(W26-Y26,0)</f>
        <v>0</v>
      </c>
      <c r="AA26" s="23" t="str">
        <f>IF(SUMPRODUCT($J$62:Z$62,$J26:Z26)&lt;0.5, "Pending", IF(Z26&lt;0.5, "Complete", "In Progress"))</f>
        <v>Complete</v>
      </c>
      <c r="AB26" s="22">
        <v>0</v>
      </c>
      <c r="AC26" s="22">
        <f t="shared" ref="AC26" si="97">MAX(Z26-AB26,0)</f>
        <v>0</v>
      </c>
      <c r="AD26" s="23" t="str">
        <f>IF(SUMPRODUCT($J$62:AC$62,$J26:AC26)&lt;0.5, "Pending", IF(AC26&lt;0.5, "Complete", "In Progress"))</f>
        <v>Complete</v>
      </c>
      <c r="AE26" s="22">
        <v>0</v>
      </c>
      <c r="AF26" s="22">
        <f t="shared" ref="AF26" si="98">MAX(AC26-AE26,0)</f>
        <v>0</v>
      </c>
      <c r="AG26" s="23" t="str">
        <f>IF(SUMPRODUCT($J$62:AF$62,$J26:AF26)&lt;0.5, "Pending", IF(AF26&lt;0.5, "Complete", "In Progress"))</f>
        <v>Complete</v>
      </c>
      <c r="AH26" s="22">
        <v>0</v>
      </c>
      <c r="AI26" s="22">
        <f t="shared" ref="AI26" si="99">MAX(AF26-AH26,0)</f>
        <v>0</v>
      </c>
      <c r="AJ26" s="23" t="str">
        <f>IF(SUMPRODUCT($J$62:AI$62,$J26:AI26)&lt;0.5, "Pending", IF(AI26&lt;0.5, "Complete", "In Progress"))</f>
        <v>Complete</v>
      </c>
      <c r="AK26" s="22">
        <v>0</v>
      </c>
      <c r="AL26" s="22">
        <f t="shared" ref="AL26" si="100">MAX(AI26-AK26,0)</f>
        <v>0</v>
      </c>
      <c r="AM26" s="23" t="str">
        <f>IF(SUMPRODUCT($J$62:AL$62,$J26:AL26)&lt;0.5, "Pending", IF(AL26&lt;0.5, "Complete", "In Progress"))</f>
        <v>Complete</v>
      </c>
      <c r="AN26" s="22">
        <v>0</v>
      </c>
      <c r="AO26" s="22">
        <f t="shared" ref="AO26" si="101">MAX(AL26-AN26,0)</f>
        <v>0</v>
      </c>
      <c r="AP26" s="23" t="str">
        <f>IF(SUMPRODUCT($J$62:AO$62,$J26:AO26)&lt;0.5, "Pending", IF(AO26&lt;0.5, "Complete", "In Progress"))</f>
        <v>Complete</v>
      </c>
      <c r="AQ26" s="22">
        <v>0</v>
      </c>
      <c r="AR26" s="22">
        <f t="shared" ref="AR26" si="102">MAX(AO26-AQ26,0)</f>
        <v>0</v>
      </c>
      <c r="AS26" s="23" t="str">
        <f>IF(SUMPRODUCT($J$62:AR$62,$J26:AR26)&lt;0.5, "Pending", IF(AR26&lt;0.5, "Complete", "In Progress"))</f>
        <v>Complete</v>
      </c>
      <c r="AT26" s="22">
        <v>0</v>
      </c>
      <c r="AU26" s="22">
        <f t="shared" ref="AU26" si="103">MAX(AR26-AT26,0)</f>
        <v>0</v>
      </c>
      <c r="AV26" s="23" t="str">
        <f>IF(SUMPRODUCT($J$62:AU$62,$J26:AU26)&lt;0.5, "Pending", IF(AU26&lt;0.5, "Complete", "In Progress"))</f>
        <v>Complete</v>
      </c>
      <c r="AW26" s="22">
        <v>0</v>
      </c>
      <c r="AX26" s="22">
        <f t="shared" ref="AX26" si="104">MAX(AU26-AW26,0)</f>
        <v>0</v>
      </c>
      <c r="AY26" s="23" t="str">
        <f>IF(SUMPRODUCT($J$62:AX$62,$J26:AX26)&lt;0.5, "Pending", IF(AX26&lt;0.5, "Complete", "In Progress"))</f>
        <v>Complete</v>
      </c>
      <c r="AZ26" s="22">
        <v>0</v>
      </c>
      <c r="BA26" s="22">
        <f t="shared" ref="BA26" si="105">MAX(AX26-AZ26,0)</f>
        <v>0</v>
      </c>
      <c r="BB26" s="23" t="str">
        <f>IF(SUMPRODUCT($J$62:BA$62,$J26:BA26)&lt;0.5, "Pending", IF(BA26&lt;0.5, "Complete", "In Progress"))</f>
        <v>Complete</v>
      </c>
      <c r="BC26" s="22">
        <v>0</v>
      </c>
      <c r="BD26" s="22">
        <f t="shared" ref="BD26" si="106">MAX(BA26-BC26,0)</f>
        <v>0</v>
      </c>
      <c r="BE26" s="23" t="str">
        <f>IF(SUMPRODUCT($J$62:BD$62,$J26:BD26)&lt;0.5, "Pending", IF(BD26&lt;0.5, "Complete", "In Progress"))</f>
        <v>Complete</v>
      </c>
      <c r="BF26" s="22">
        <v>0</v>
      </c>
      <c r="BG26" s="22">
        <f t="shared" ref="BG26" si="107">MAX(BD26-BF26,0)</f>
        <v>0</v>
      </c>
      <c r="BH26" s="23" t="str">
        <f>IF(SUMPRODUCT($J$62:BG$62,$J26:BG26)&lt;0.5, "Pending", IF(BG26&lt;0.5, "Complete", "In Progress"))</f>
        <v>Complete</v>
      </c>
      <c r="BI26" s="22">
        <v>0</v>
      </c>
      <c r="BJ26" s="22">
        <f t="shared" ref="BJ26" si="108">MAX(BG26-BI26,0)</f>
        <v>0</v>
      </c>
      <c r="BK26" s="23" t="str">
        <f>IF(SUMPRODUCT($J$62:BJ$62,$J26:BJ26)&lt;0.5, "Pending", IF(BJ26&lt;0.5, "Complete", "In Progress"))</f>
        <v>Complete</v>
      </c>
      <c r="BL26" s="22">
        <v>0</v>
      </c>
      <c r="BM26" s="22">
        <f t="shared" ref="BM26" si="109">MAX(BJ26-BL26,0)</f>
        <v>0</v>
      </c>
      <c r="BN26" s="23" t="str">
        <f>IF(SUMPRODUCT($J$62:BM$62,$J26:BM26)&lt;0.5, "Pending", IF(BM26&lt;0.5, "Complete", "In Progress"))</f>
        <v>Complete</v>
      </c>
      <c r="BO26" s="22">
        <v>0</v>
      </c>
      <c r="BP26" s="22">
        <f t="shared" ref="BP26" si="110">MAX(BM26-BO26,0)</f>
        <v>0</v>
      </c>
      <c r="BQ26" s="23" t="str">
        <f>IF(SUMPRODUCT($J$62:BP$62,$J26:BP26)&lt;0.5, "Pending", IF(BP26&lt;0.5, "Complete", "In Progress"))</f>
        <v>Complete</v>
      </c>
      <c r="BR26" s="22">
        <v>0</v>
      </c>
      <c r="BS26" s="22">
        <f t="shared" ref="BS26" si="111">MAX(BP26-BR26,0)</f>
        <v>0</v>
      </c>
      <c r="BT26" s="23" t="str">
        <f>IF(SUMPRODUCT($J$62:BS$62,$J26:BS26)&lt;0.5, "Pending", IF(BS26&lt;0.5, "Complete", "In Progress"))</f>
        <v>Complete</v>
      </c>
      <c r="BU26" s="22">
        <v>0</v>
      </c>
      <c r="BV26" s="22">
        <f t="shared" ref="BV26" si="112">MAX(BS26-BU26,0)</f>
        <v>0</v>
      </c>
      <c r="BW26" s="23" t="str">
        <f>IF(SUMPRODUCT($J$62:BV$62,$J26:BV26)&lt;0.5, "Pending", IF(BV26&lt;0.5, "Complete", "In Progress"))</f>
        <v>Complete</v>
      </c>
      <c r="BX26" s="22">
        <v>0</v>
      </c>
      <c r="BY26" s="22">
        <f t="shared" ref="BY26" si="113">MAX(BV26-BX26,0)</f>
        <v>0</v>
      </c>
      <c r="BZ26" s="23" t="str">
        <f>IF(SUMPRODUCT($J$62:BY$62,$J26:BY26)&lt;0.5, "Pending", IF(BY26&lt;0.5, "Complete", "In Progress"))</f>
        <v>Complete</v>
      </c>
      <c r="CA26" s="22">
        <v>0</v>
      </c>
      <c r="CB26" s="22">
        <f t="shared" ref="CB26" si="114">MAX(BY26-CA26,0)</f>
        <v>0</v>
      </c>
      <c r="CC26" s="23" t="str">
        <f>IF(SUMPRODUCT($J$62:CB$62,$J26:CB26)&lt;0.5, "Pending", IF(CB26&lt;0.5, "Complete", "In Progress"))</f>
        <v>Complete</v>
      </c>
      <c r="CD26" s="22">
        <v>0</v>
      </c>
      <c r="CE26" s="22">
        <f t="shared" ref="CE26" si="115">MAX(CB26-CD26,0)</f>
        <v>0</v>
      </c>
      <c r="CF26" s="23" t="str">
        <f>IF(SUMPRODUCT($J$62:CE$62,$J26:CE26)&lt;0.5, "Pending", IF(CE26&lt;0.5, "Complete", "In Progress"))</f>
        <v>Complete</v>
      </c>
      <c r="CG26" s="22">
        <v>0</v>
      </c>
      <c r="CH26" s="22">
        <f t="shared" ref="CH26" si="116">MAX(CE26-CG26,0)</f>
        <v>0</v>
      </c>
      <c r="CI26" s="23" t="str">
        <f>IF(SUMPRODUCT($J$62:CH$62,$J26:CH26)&lt;0.5, "Pending", IF(CH26&lt;0.5, "Complete", "In Progress"))</f>
        <v>Complete</v>
      </c>
      <c r="CJ26" s="22">
        <v>0</v>
      </c>
      <c r="CK26" s="22">
        <f t="shared" ref="CK26" si="117">MAX(CH26-CJ26,0)</f>
        <v>0</v>
      </c>
      <c r="CL26" s="23" t="str">
        <f>IF(SUMPRODUCT($J$62:CK$62,$J26:CK26)&lt;0.5, "Pending", IF(CK26&lt;0.5, "Complete", "In Progress"))</f>
        <v>Complete</v>
      </c>
      <c r="CM26" s="22">
        <v>0</v>
      </c>
      <c r="CN26" s="22">
        <f t="shared" ref="CN26" si="118">MAX(CK26-CM26,0)</f>
        <v>0</v>
      </c>
      <c r="CO26" s="23" t="str">
        <f>IF(SUMPRODUCT($J$62:CN$62,$J26:CN26)&lt;0.5, "Pending", IF(CN26&lt;0.5, "Complete", "In Progress"))</f>
        <v>Complete</v>
      </c>
      <c r="CP26" s="22">
        <v>0</v>
      </c>
      <c r="CQ26" s="22">
        <f t="shared" ref="CQ26" si="119">MAX(CN26-CP26,0)</f>
        <v>0</v>
      </c>
      <c r="CR26" s="23" t="str">
        <f>IF(SUMPRODUCT($J$62:CQ$62,$J26:CQ26)&lt;0.5, "Pending", IF(CQ26&lt;0.5, "Complete", "In Progress"))</f>
        <v>Complete</v>
      </c>
      <c r="CS26" s="22">
        <v>0</v>
      </c>
      <c r="CT26" s="22">
        <f t="shared" ref="CT26" si="120">MAX(CQ26-CS26,0)</f>
        <v>0</v>
      </c>
      <c r="CU26" s="23" t="str">
        <f>IF(SUMPRODUCT($J$62:CT$62,$J26:CT26)&lt;0.5, "Pending", IF(CT26&lt;0.5, "Complete", "In Progress"))</f>
        <v>Complete</v>
      </c>
      <c r="CV26" s="22">
        <v>0</v>
      </c>
      <c r="CW26" s="22">
        <f t="shared" ref="CW26" si="121">MAX(CT26-CV26,0)</f>
        <v>0</v>
      </c>
      <c r="CX26" s="23" t="str">
        <f>IF(SUMPRODUCT($J$62:CW$62,$J26:CW26)&lt;0.5, "Pending", IF(CW26&lt;0.5, "Complete", "In Progress"))</f>
        <v>Complete</v>
      </c>
      <c r="CY26" s="22">
        <v>0</v>
      </c>
      <c r="CZ26" s="22">
        <f t="shared" ref="CZ26" si="122">MAX(CW26-CY26,0)</f>
        <v>0</v>
      </c>
      <c r="DA26" s="23" t="str">
        <f>IF(SUMPRODUCT($J$62:CZ$62,$J26:CZ26)&lt;0.5, "Pending", IF(CZ26&lt;0.5, "Complete", "In Progress"))</f>
        <v>Complete</v>
      </c>
      <c r="DB26" s="22">
        <v>0</v>
      </c>
      <c r="DC26" s="22">
        <f t="shared" ref="DC26" si="123">MAX(CZ26-DB26,0)</f>
        <v>0</v>
      </c>
      <c r="DD26" s="23" t="str">
        <f>IF(SUMPRODUCT($J$62:DC$62,$J26:DC26)&lt;0.5, "Pending", IF(DC26&lt;0.5, "Complete", "In Progress"))</f>
        <v>Complete</v>
      </c>
      <c r="DE26" s="22">
        <v>0</v>
      </c>
      <c r="DF26" s="22">
        <f t="shared" ref="DF26" si="124">MAX(DC26-DE26,0)</f>
        <v>0</v>
      </c>
      <c r="DG26" s="23" t="str">
        <f>IF(SUMPRODUCT($J$62:DF$62,$J26:DF26)&lt;0.5, "Pending", IF(DF26&lt;0.5, "Complete", "In Progress"))</f>
        <v>Complete</v>
      </c>
      <c r="DH26" s="22">
        <v>0</v>
      </c>
      <c r="DI26" s="22">
        <f t="shared" ref="DI26" si="125">MAX(DF26-DH26,0)</f>
        <v>0</v>
      </c>
      <c r="DJ26" s="23" t="str">
        <f>IF(SUMPRODUCT($J$62:DI$62,$J26:DI26)&lt;0.5, "Pending", IF(DI26&lt;0.5, "Complete", "In Progress"))</f>
        <v>Complete</v>
      </c>
      <c r="DK26" s="22">
        <v>0</v>
      </c>
      <c r="DL26" s="22">
        <f t="shared" ref="DL26" si="126">MAX(DI26-DK26,0)</f>
        <v>0</v>
      </c>
      <c r="DM26" s="23" t="str">
        <f>IF(SUMPRODUCT($J$62:DL$62,$J26:DL26)&lt;0.5, "Pending", IF(DL26&lt;0.5, "Complete", "In Progress"))</f>
        <v>Complete</v>
      </c>
      <c r="DN26" s="22">
        <v>0</v>
      </c>
      <c r="DO26" s="22">
        <f t="shared" ref="DO26" si="127">MAX(DL26-DN26,0)</f>
        <v>0</v>
      </c>
      <c r="DP26" s="23" t="str">
        <f>IF(SUMPRODUCT($J$62:DO$62,$J26:DO26)&lt;0.5, "Pending", IF(DO26&lt;0.5, "Complete", "In Progress"))</f>
        <v>Complete</v>
      </c>
      <c r="DQ26" s="22">
        <v>0</v>
      </c>
      <c r="DR26" s="22">
        <f t="shared" ref="DR26" si="128">MAX(DO26-DQ26,0)</f>
        <v>0</v>
      </c>
      <c r="DS26" s="23" t="str">
        <f>IF(SUMPRODUCT($J$62:DR$62,$J26:DR26)&lt;0.5, "Pending", IF(DR26&lt;0.5, "Complete", "In Progress"))</f>
        <v>Complete</v>
      </c>
      <c r="DT26" s="22">
        <v>0</v>
      </c>
      <c r="DU26" s="22">
        <f t="shared" ref="DU26" si="129">MAX(DR26-DT26,0)</f>
        <v>0</v>
      </c>
      <c r="DV26" s="23" t="str">
        <f>IF(SUMPRODUCT($J$62:DU$62,$J26:DU26)&lt;0.5, "Pending", IF(DU26&lt;0.5, "Complete", "In Progress"))</f>
        <v>Complete</v>
      </c>
      <c r="DW26" s="22">
        <v>0</v>
      </c>
      <c r="DX26" s="22">
        <f t="shared" ref="DX26" si="130">MAX(DU26-DW26,0)</f>
        <v>0</v>
      </c>
      <c r="DY26" s="23" t="str">
        <f>IF(SUMPRODUCT($J$62:DX$62,$J26:DX26)&lt;0.5, "Pending", IF(DX26&lt;0.5, "Complete", "In Progress"))</f>
        <v>Complete</v>
      </c>
      <c r="DZ26" s="24"/>
      <c r="EA26" s="25">
        <f>SUMPRODUCT($H$62:DG$62,$H26:DG26)</f>
        <v>4</v>
      </c>
    </row>
    <row r="27" spans="1:131" x14ac:dyDescent="0.25">
      <c r="A27" s="16" t="s">
        <v>124</v>
      </c>
      <c r="B27" s="16" t="s">
        <v>136</v>
      </c>
      <c r="C27" s="16" t="s">
        <v>121</v>
      </c>
      <c r="D27" s="17">
        <v>6</v>
      </c>
      <c r="E27" s="199" t="s">
        <v>144</v>
      </c>
      <c r="F27" s="18" t="s">
        <v>123</v>
      </c>
      <c r="G27" s="19" t="str">
        <f t="shared" ca="1" si="0"/>
        <v>Complete</v>
      </c>
      <c r="H27" s="20">
        <v>1</v>
      </c>
      <c r="I27" s="21">
        <v>4</v>
      </c>
      <c r="J27" s="22">
        <v>4</v>
      </c>
      <c r="K27" s="22">
        <f t="shared" si="11"/>
        <v>0</v>
      </c>
      <c r="L27" s="23" t="str">
        <f>IF(SUMPRODUCT($J$62:K$62,$J27:K27)&lt;0.5, "Pending", IF(K27&lt;0.5, "Complete", "In Progress"))</f>
        <v>Complete</v>
      </c>
      <c r="M27" s="22">
        <v>0</v>
      </c>
      <c r="N27" s="22">
        <f t="shared" si="12"/>
        <v>0</v>
      </c>
      <c r="O27" s="23" t="str">
        <f>IF(SUMPRODUCT($J$62:N$62,$J27:N27)&lt;0.5, "Pending", IF(N27&lt;0.5, "Complete", "In Progress"))</f>
        <v>Complete</v>
      </c>
      <c r="P27" s="22">
        <v>0</v>
      </c>
      <c r="Q27" s="22">
        <f t="shared" si="13"/>
        <v>0</v>
      </c>
      <c r="R27" s="23" t="str">
        <f>IF(SUMPRODUCT($J$62:Q$62,$J27:Q27)&lt;0.5, "Pending", IF(Q27&lt;0.5, "Complete", "In Progress"))</f>
        <v>Complete</v>
      </c>
      <c r="S27" s="22">
        <v>0</v>
      </c>
      <c r="T27" s="22">
        <f t="shared" si="14"/>
        <v>0</v>
      </c>
      <c r="U27" s="23" t="str">
        <f>IF(SUMPRODUCT($J$62:T$62,$J27:T27)&lt;0.5, "Pending", IF(T27&lt;0.5, "Complete", "In Progress"))</f>
        <v>Complete</v>
      </c>
      <c r="V27" s="22">
        <v>0</v>
      </c>
      <c r="W27" s="22">
        <f t="shared" si="15"/>
        <v>0</v>
      </c>
      <c r="X27" s="23" t="str">
        <f>IF(SUMPRODUCT($J$62:W$62,$J27:W27)&lt;0.5, "Pending", IF(W27&lt;0.5, "Complete", "In Progress"))</f>
        <v>Complete</v>
      </c>
      <c r="Y27" s="22">
        <v>0</v>
      </c>
      <c r="Z27" s="22">
        <f t="shared" si="16"/>
        <v>0</v>
      </c>
      <c r="AA27" s="23" t="str">
        <f>IF(SUMPRODUCT($J$62:Z$62,$J27:Z27)&lt;0.5, "Pending", IF(Z27&lt;0.5, "Complete", "In Progress"))</f>
        <v>Complete</v>
      </c>
      <c r="AB27" s="22">
        <v>0</v>
      </c>
      <c r="AC27" s="22">
        <f t="shared" si="17"/>
        <v>0</v>
      </c>
      <c r="AD27" s="23" t="str">
        <f>IF(SUMPRODUCT($J$62:AC$62,$J27:AC27)&lt;0.5, "Pending", IF(AC27&lt;0.5, "Complete", "In Progress"))</f>
        <v>Complete</v>
      </c>
      <c r="AE27" s="22">
        <v>0</v>
      </c>
      <c r="AF27" s="22">
        <f t="shared" si="18"/>
        <v>0</v>
      </c>
      <c r="AG27" s="23" t="str">
        <f>IF(SUMPRODUCT($J$62:AF$62,$J27:AF27)&lt;0.5, "Pending", IF(AF27&lt;0.5, "Complete", "In Progress"))</f>
        <v>Complete</v>
      </c>
      <c r="AH27" s="22">
        <v>0</v>
      </c>
      <c r="AI27" s="22">
        <f t="shared" si="19"/>
        <v>0</v>
      </c>
      <c r="AJ27" s="23" t="str">
        <f>IF(SUMPRODUCT($J$62:AI$62,$J27:AI27)&lt;0.5, "Pending", IF(AI27&lt;0.5, "Complete", "In Progress"))</f>
        <v>Complete</v>
      </c>
      <c r="AK27" s="22">
        <v>0</v>
      </c>
      <c r="AL27" s="22">
        <f t="shared" si="20"/>
        <v>0</v>
      </c>
      <c r="AM27" s="23" t="str">
        <f>IF(SUMPRODUCT($J$62:AL$62,$J27:AL27)&lt;0.5, "Pending", IF(AL27&lt;0.5, "Complete", "In Progress"))</f>
        <v>Complete</v>
      </c>
      <c r="AN27" s="22">
        <v>0</v>
      </c>
      <c r="AO27" s="22">
        <f t="shared" si="21"/>
        <v>0</v>
      </c>
      <c r="AP27" s="23" t="str">
        <f>IF(SUMPRODUCT($J$62:AO$62,$J27:AO27)&lt;0.5, "Pending", IF(AO27&lt;0.5, "Complete", "In Progress"))</f>
        <v>Complete</v>
      </c>
      <c r="AQ27" s="22">
        <v>0</v>
      </c>
      <c r="AR27" s="22">
        <f t="shared" si="22"/>
        <v>0</v>
      </c>
      <c r="AS27" s="23" t="str">
        <f>IF(SUMPRODUCT($J$62:AR$62,$J27:AR27)&lt;0.5, "Pending", IF(AR27&lt;0.5, "Complete", "In Progress"))</f>
        <v>Complete</v>
      </c>
      <c r="AT27" s="22">
        <v>0</v>
      </c>
      <c r="AU27" s="22">
        <f t="shared" si="23"/>
        <v>0</v>
      </c>
      <c r="AV27" s="23" t="str">
        <f>IF(SUMPRODUCT($J$62:AU$62,$J27:AU27)&lt;0.5, "Pending", IF(AU27&lt;0.5, "Complete", "In Progress"))</f>
        <v>Complete</v>
      </c>
      <c r="AW27" s="22">
        <v>0</v>
      </c>
      <c r="AX27" s="22">
        <f t="shared" si="24"/>
        <v>0</v>
      </c>
      <c r="AY27" s="23" t="str">
        <f>IF(SUMPRODUCT($J$62:AX$62,$J27:AX27)&lt;0.5, "Pending", IF(AX27&lt;0.5, "Complete", "In Progress"))</f>
        <v>Complete</v>
      </c>
      <c r="AZ27" s="22">
        <v>0</v>
      </c>
      <c r="BA27" s="22">
        <f t="shared" si="25"/>
        <v>0</v>
      </c>
      <c r="BB27" s="23" t="str">
        <f>IF(SUMPRODUCT($J$62:BA$62,$J27:BA27)&lt;0.5, "Pending", IF(BA27&lt;0.5, "Complete", "In Progress"))</f>
        <v>Complete</v>
      </c>
      <c r="BC27" s="22">
        <v>0</v>
      </c>
      <c r="BD27" s="22">
        <f t="shared" si="26"/>
        <v>0</v>
      </c>
      <c r="BE27" s="23" t="str">
        <f>IF(SUMPRODUCT($J$62:BD$62,$J27:BD27)&lt;0.5, "Pending", IF(BD27&lt;0.5, "Complete", "In Progress"))</f>
        <v>Complete</v>
      </c>
      <c r="BF27" s="22">
        <v>0</v>
      </c>
      <c r="BG27" s="22">
        <f t="shared" si="27"/>
        <v>0</v>
      </c>
      <c r="BH27" s="23" t="str">
        <f>IF(SUMPRODUCT($J$62:BG$62,$J27:BG27)&lt;0.5, "Pending", IF(BG27&lt;0.5, "Complete", "In Progress"))</f>
        <v>Complete</v>
      </c>
      <c r="BI27" s="22">
        <v>0</v>
      </c>
      <c r="BJ27" s="22">
        <f t="shared" si="28"/>
        <v>0</v>
      </c>
      <c r="BK27" s="23" t="str">
        <f>IF(SUMPRODUCT($J$62:BJ$62,$J27:BJ27)&lt;0.5, "Pending", IF(BJ27&lt;0.5, "Complete", "In Progress"))</f>
        <v>Complete</v>
      </c>
      <c r="BL27" s="22">
        <v>0</v>
      </c>
      <c r="BM27" s="22">
        <f t="shared" si="29"/>
        <v>0</v>
      </c>
      <c r="BN27" s="23" t="str">
        <f>IF(SUMPRODUCT($J$62:BM$62,$J27:BM27)&lt;0.5, "Pending", IF(BM27&lt;0.5, "Complete", "In Progress"))</f>
        <v>Complete</v>
      </c>
      <c r="BO27" s="22">
        <v>0</v>
      </c>
      <c r="BP27" s="22">
        <f t="shared" si="30"/>
        <v>0</v>
      </c>
      <c r="BQ27" s="23" t="str">
        <f>IF(SUMPRODUCT($J$62:BP$62,$J27:BP27)&lt;0.5, "Pending", IF(BP27&lt;0.5, "Complete", "In Progress"))</f>
        <v>Complete</v>
      </c>
      <c r="BR27" s="22">
        <v>0</v>
      </c>
      <c r="BS27" s="22">
        <f t="shared" si="31"/>
        <v>0</v>
      </c>
      <c r="BT27" s="23" t="str">
        <f>IF(SUMPRODUCT($J$62:BS$62,$J27:BS27)&lt;0.5, "Pending", IF(BS27&lt;0.5, "Complete", "In Progress"))</f>
        <v>Complete</v>
      </c>
      <c r="BU27" s="22">
        <v>0</v>
      </c>
      <c r="BV27" s="22">
        <f t="shared" si="32"/>
        <v>0</v>
      </c>
      <c r="BW27" s="23" t="str">
        <f>IF(SUMPRODUCT($J$62:BV$62,$J27:BV27)&lt;0.5, "Pending", IF(BV27&lt;0.5, "Complete", "In Progress"))</f>
        <v>Complete</v>
      </c>
      <c r="BX27" s="22">
        <v>0</v>
      </c>
      <c r="BY27" s="22">
        <f t="shared" si="33"/>
        <v>0</v>
      </c>
      <c r="BZ27" s="23" t="str">
        <f>IF(SUMPRODUCT($J$62:BY$62,$J27:BY27)&lt;0.5, "Pending", IF(BY27&lt;0.5, "Complete", "In Progress"))</f>
        <v>Complete</v>
      </c>
      <c r="CA27" s="22">
        <v>0</v>
      </c>
      <c r="CB27" s="22">
        <f t="shared" si="34"/>
        <v>0</v>
      </c>
      <c r="CC27" s="23" t="str">
        <f>IF(SUMPRODUCT($J$62:CB$62,$J27:CB27)&lt;0.5, "Pending", IF(CB27&lt;0.5, "Complete", "In Progress"))</f>
        <v>Complete</v>
      </c>
      <c r="CD27" s="22">
        <v>0</v>
      </c>
      <c r="CE27" s="22">
        <f t="shared" si="35"/>
        <v>0</v>
      </c>
      <c r="CF27" s="23" t="str">
        <f>IF(SUMPRODUCT($J$62:CE$62,$J27:CE27)&lt;0.5, "Pending", IF(CE27&lt;0.5, "Complete", "In Progress"))</f>
        <v>Complete</v>
      </c>
      <c r="CG27" s="22">
        <v>0</v>
      </c>
      <c r="CH27" s="22">
        <f t="shared" si="36"/>
        <v>0</v>
      </c>
      <c r="CI27" s="23" t="str">
        <f>IF(SUMPRODUCT($J$62:CH$62,$J27:CH27)&lt;0.5, "Pending", IF(CH27&lt;0.5, "Complete", "In Progress"))</f>
        <v>Complete</v>
      </c>
      <c r="CJ27" s="22">
        <v>0</v>
      </c>
      <c r="CK27" s="22">
        <f t="shared" si="37"/>
        <v>0</v>
      </c>
      <c r="CL27" s="23" t="str">
        <f>IF(SUMPRODUCT($J$62:CK$62,$J27:CK27)&lt;0.5, "Pending", IF(CK27&lt;0.5, "Complete", "In Progress"))</f>
        <v>Complete</v>
      </c>
      <c r="CM27" s="22">
        <v>0</v>
      </c>
      <c r="CN27" s="22">
        <f t="shared" si="38"/>
        <v>0</v>
      </c>
      <c r="CO27" s="23" t="str">
        <f>IF(SUMPRODUCT($J$62:CN$62,$J27:CN27)&lt;0.5, "Pending", IF(CN27&lt;0.5, "Complete", "In Progress"))</f>
        <v>Complete</v>
      </c>
      <c r="CP27" s="22">
        <v>0</v>
      </c>
      <c r="CQ27" s="22">
        <f t="shared" si="39"/>
        <v>0</v>
      </c>
      <c r="CR27" s="23" t="str">
        <f>IF(SUMPRODUCT($J$62:CQ$62,$J27:CQ27)&lt;0.5, "Pending", IF(CQ27&lt;0.5, "Complete", "In Progress"))</f>
        <v>Complete</v>
      </c>
      <c r="CS27" s="22">
        <v>0</v>
      </c>
      <c r="CT27" s="22">
        <f t="shared" si="40"/>
        <v>0</v>
      </c>
      <c r="CU27" s="23" t="str">
        <f>IF(SUMPRODUCT($J$62:CT$62,$J27:CT27)&lt;0.5, "Pending", IF(CT27&lt;0.5, "Complete", "In Progress"))</f>
        <v>Complete</v>
      </c>
      <c r="CV27" s="22">
        <v>0</v>
      </c>
      <c r="CW27" s="22">
        <f t="shared" si="41"/>
        <v>0</v>
      </c>
      <c r="CX27" s="23" t="str">
        <f>IF(SUMPRODUCT($J$62:CW$62,$J27:CW27)&lt;0.5, "Pending", IF(CW27&lt;0.5, "Complete", "In Progress"))</f>
        <v>Complete</v>
      </c>
      <c r="CY27" s="22">
        <v>0</v>
      </c>
      <c r="CZ27" s="22">
        <f t="shared" si="42"/>
        <v>0</v>
      </c>
      <c r="DA27" s="23" t="str">
        <f>IF(SUMPRODUCT($J$62:CZ$62,$J27:CZ27)&lt;0.5, "Pending", IF(CZ27&lt;0.5, "Complete", "In Progress"))</f>
        <v>Complete</v>
      </c>
      <c r="DB27" s="22">
        <v>0</v>
      </c>
      <c r="DC27" s="22">
        <f t="shared" si="43"/>
        <v>0</v>
      </c>
      <c r="DD27" s="23" t="str">
        <f>IF(SUMPRODUCT($J$62:DC$62,$J27:DC27)&lt;0.5, "Pending", IF(DC27&lt;0.5, "Complete", "In Progress"))</f>
        <v>Complete</v>
      </c>
      <c r="DE27" s="22">
        <v>0</v>
      </c>
      <c r="DF27" s="22">
        <f t="shared" si="44"/>
        <v>0</v>
      </c>
      <c r="DG27" s="23" t="str">
        <f>IF(SUMPRODUCT($J$62:DF$62,$J27:DF27)&lt;0.5, "Pending", IF(DF27&lt;0.5, "Complete", "In Progress"))</f>
        <v>Complete</v>
      </c>
      <c r="DH27" s="22">
        <v>0</v>
      </c>
      <c r="DI27" s="22">
        <f t="shared" si="45"/>
        <v>0</v>
      </c>
      <c r="DJ27" s="23" t="str">
        <f>IF(SUMPRODUCT($J$62:DI$62,$J27:DI27)&lt;0.5, "Pending", IF(DI27&lt;0.5, "Complete", "In Progress"))</f>
        <v>Complete</v>
      </c>
      <c r="DK27" s="22">
        <v>0</v>
      </c>
      <c r="DL27" s="22">
        <f t="shared" si="46"/>
        <v>0</v>
      </c>
      <c r="DM27" s="23" t="str">
        <f>IF(SUMPRODUCT($J$62:DL$62,$J27:DL27)&lt;0.5, "Pending", IF(DL27&lt;0.5, "Complete", "In Progress"))</f>
        <v>Complete</v>
      </c>
      <c r="DN27" s="22">
        <v>0</v>
      </c>
      <c r="DO27" s="22">
        <f t="shared" si="47"/>
        <v>0</v>
      </c>
      <c r="DP27" s="23" t="str">
        <f>IF(SUMPRODUCT($J$62:DO$62,$J27:DO27)&lt;0.5, "Pending", IF(DO27&lt;0.5, "Complete", "In Progress"))</f>
        <v>Complete</v>
      </c>
      <c r="DQ27" s="22">
        <v>0</v>
      </c>
      <c r="DR27" s="22">
        <f t="shared" si="48"/>
        <v>0</v>
      </c>
      <c r="DS27" s="23" t="str">
        <f>IF(SUMPRODUCT($J$62:DR$62,$J27:DR27)&lt;0.5, "Pending", IF(DR27&lt;0.5, "Complete", "In Progress"))</f>
        <v>Complete</v>
      </c>
      <c r="DT27" s="22">
        <v>0</v>
      </c>
      <c r="DU27" s="22">
        <f t="shared" si="49"/>
        <v>0</v>
      </c>
      <c r="DV27" s="23" t="str">
        <f>IF(SUMPRODUCT($J$62:DU$62,$J27:DU27)&lt;0.5, "Pending", IF(DU27&lt;0.5, "Complete", "In Progress"))</f>
        <v>Complete</v>
      </c>
      <c r="DW27" s="22">
        <v>0</v>
      </c>
      <c r="DX27" s="22">
        <f t="shared" si="50"/>
        <v>0</v>
      </c>
      <c r="DY27" s="23" t="str">
        <f>IF(SUMPRODUCT($J$62:DX$62,$J27:DX27)&lt;0.5, "Pending", IF(DX27&lt;0.5, "Complete", "In Progress"))</f>
        <v>Complete</v>
      </c>
      <c r="DZ27" s="24"/>
      <c r="EA27" s="25">
        <f>SUMPRODUCT($H$62:DG$62,$H27:DG27)</f>
        <v>4</v>
      </c>
    </row>
    <row r="28" spans="1:131" x14ac:dyDescent="0.25">
      <c r="A28" s="16" t="s">
        <v>124</v>
      </c>
      <c r="B28" s="16" t="s">
        <v>136</v>
      </c>
      <c r="C28" s="16" t="s">
        <v>121</v>
      </c>
      <c r="D28" s="17">
        <v>6</v>
      </c>
      <c r="E28" s="199" t="s">
        <v>144</v>
      </c>
      <c r="F28" s="18" t="s">
        <v>129</v>
      </c>
      <c r="G28" s="19" t="str">
        <f t="shared" ca="1" si="0"/>
        <v>Complete</v>
      </c>
      <c r="H28" s="20">
        <v>1</v>
      </c>
      <c r="I28" s="21">
        <v>4</v>
      </c>
      <c r="J28" s="22">
        <v>4</v>
      </c>
      <c r="K28" s="22">
        <f t="shared" si="11"/>
        <v>0</v>
      </c>
      <c r="L28" s="23" t="str">
        <f>IF(SUMPRODUCT($J$62:K$62,$J28:K28)&lt;0.5, "Pending", IF(K28&lt;0.5, "Complete", "In Progress"))</f>
        <v>Complete</v>
      </c>
      <c r="M28" s="22">
        <v>0</v>
      </c>
      <c r="N28" s="22">
        <f t="shared" si="12"/>
        <v>0</v>
      </c>
      <c r="O28" s="23" t="str">
        <f>IF(SUMPRODUCT($J$62:N$62,$J28:N28)&lt;0.5, "Pending", IF(N28&lt;0.5, "Complete", "In Progress"))</f>
        <v>Complete</v>
      </c>
      <c r="P28" s="22">
        <v>0</v>
      </c>
      <c r="Q28" s="22">
        <f t="shared" si="13"/>
        <v>0</v>
      </c>
      <c r="R28" s="23" t="str">
        <f>IF(SUMPRODUCT($J$62:Q$62,$J28:Q28)&lt;0.5, "Pending", IF(Q28&lt;0.5, "Complete", "In Progress"))</f>
        <v>Complete</v>
      </c>
      <c r="S28" s="22">
        <v>0</v>
      </c>
      <c r="T28" s="22">
        <f t="shared" si="14"/>
        <v>0</v>
      </c>
      <c r="U28" s="23" t="str">
        <f>IF(SUMPRODUCT($J$62:T$62,$J28:T28)&lt;0.5, "Pending", IF(T28&lt;0.5, "Complete", "In Progress"))</f>
        <v>Complete</v>
      </c>
      <c r="V28" s="22">
        <v>0</v>
      </c>
      <c r="W28" s="22">
        <f t="shared" si="15"/>
        <v>0</v>
      </c>
      <c r="X28" s="23" t="str">
        <f>IF(SUMPRODUCT($J$62:W$62,$J28:W28)&lt;0.5, "Pending", IF(W28&lt;0.5, "Complete", "In Progress"))</f>
        <v>Complete</v>
      </c>
      <c r="Y28" s="22">
        <v>0</v>
      </c>
      <c r="Z28" s="22">
        <f t="shared" si="16"/>
        <v>0</v>
      </c>
      <c r="AA28" s="23" t="str">
        <f>IF(SUMPRODUCT($J$62:Z$62,$J28:Z28)&lt;0.5, "Pending", IF(Z28&lt;0.5, "Complete", "In Progress"))</f>
        <v>Complete</v>
      </c>
      <c r="AB28" s="22">
        <v>0</v>
      </c>
      <c r="AC28" s="22">
        <f t="shared" si="17"/>
        <v>0</v>
      </c>
      <c r="AD28" s="23" t="str">
        <f>IF(SUMPRODUCT($J$62:AC$62,$J28:AC28)&lt;0.5, "Pending", IF(AC28&lt;0.5, "Complete", "In Progress"))</f>
        <v>Complete</v>
      </c>
      <c r="AE28" s="22">
        <v>0</v>
      </c>
      <c r="AF28" s="22">
        <f t="shared" si="18"/>
        <v>0</v>
      </c>
      <c r="AG28" s="23" t="str">
        <f>IF(SUMPRODUCT($J$62:AF$62,$J28:AF28)&lt;0.5, "Pending", IF(AF28&lt;0.5, "Complete", "In Progress"))</f>
        <v>Complete</v>
      </c>
      <c r="AH28" s="22">
        <v>0</v>
      </c>
      <c r="AI28" s="22">
        <f t="shared" si="19"/>
        <v>0</v>
      </c>
      <c r="AJ28" s="23" t="str">
        <f>IF(SUMPRODUCT($J$62:AI$62,$J28:AI28)&lt;0.5, "Pending", IF(AI28&lt;0.5, "Complete", "In Progress"))</f>
        <v>Complete</v>
      </c>
      <c r="AK28" s="22">
        <v>0</v>
      </c>
      <c r="AL28" s="22">
        <f t="shared" si="20"/>
        <v>0</v>
      </c>
      <c r="AM28" s="23" t="str">
        <f>IF(SUMPRODUCT($J$62:AL$62,$J28:AL28)&lt;0.5, "Pending", IF(AL28&lt;0.5, "Complete", "In Progress"))</f>
        <v>Complete</v>
      </c>
      <c r="AN28" s="22">
        <v>0</v>
      </c>
      <c r="AO28" s="22">
        <f t="shared" si="21"/>
        <v>0</v>
      </c>
      <c r="AP28" s="23" t="str">
        <f>IF(SUMPRODUCT($J$62:AO$62,$J28:AO28)&lt;0.5, "Pending", IF(AO28&lt;0.5, "Complete", "In Progress"))</f>
        <v>Complete</v>
      </c>
      <c r="AQ28" s="22">
        <v>0</v>
      </c>
      <c r="AR28" s="22">
        <f t="shared" si="22"/>
        <v>0</v>
      </c>
      <c r="AS28" s="23" t="str">
        <f>IF(SUMPRODUCT($J$62:AR$62,$J28:AR28)&lt;0.5, "Pending", IF(AR28&lt;0.5, "Complete", "In Progress"))</f>
        <v>Complete</v>
      </c>
      <c r="AT28" s="22">
        <v>0</v>
      </c>
      <c r="AU28" s="22">
        <f t="shared" si="23"/>
        <v>0</v>
      </c>
      <c r="AV28" s="23" t="str">
        <f>IF(SUMPRODUCT($J$62:AU$62,$J28:AU28)&lt;0.5, "Pending", IF(AU28&lt;0.5, "Complete", "In Progress"))</f>
        <v>Complete</v>
      </c>
      <c r="AW28" s="22">
        <v>0</v>
      </c>
      <c r="AX28" s="22">
        <f t="shared" si="24"/>
        <v>0</v>
      </c>
      <c r="AY28" s="23" t="str">
        <f>IF(SUMPRODUCT($J$62:AX$62,$J28:AX28)&lt;0.5, "Pending", IF(AX28&lt;0.5, "Complete", "In Progress"))</f>
        <v>Complete</v>
      </c>
      <c r="AZ28" s="22">
        <v>0</v>
      </c>
      <c r="BA28" s="22">
        <f t="shared" si="25"/>
        <v>0</v>
      </c>
      <c r="BB28" s="23" t="str">
        <f>IF(SUMPRODUCT($J$62:BA$62,$J28:BA28)&lt;0.5, "Pending", IF(BA28&lt;0.5, "Complete", "In Progress"))</f>
        <v>Complete</v>
      </c>
      <c r="BC28" s="22">
        <v>0</v>
      </c>
      <c r="BD28" s="22">
        <f t="shared" si="26"/>
        <v>0</v>
      </c>
      <c r="BE28" s="23" t="str">
        <f>IF(SUMPRODUCT($J$62:BD$62,$J28:BD28)&lt;0.5, "Pending", IF(BD28&lt;0.5, "Complete", "In Progress"))</f>
        <v>Complete</v>
      </c>
      <c r="BF28" s="22">
        <v>0</v>
      </c>
      <c r="BG28" s="22">
        <f t="shared" si="27"/>
        <v>0</v>
      </c>
      <c r="BH28" s="23" t="str">
        <f>IF(SUMPRODUCT($J$62:BG$62,$J28:BG28)&lt;0.5, "Pending", IF(BG28&lt;0.5, "Complete", "In Progress"))</f>
        <v>Complete</v>
      </c>
      <c r="BI28" s="22">
        <v>0</v>
      </c>
      <c r="BJ28" s="22">
        <f t="shared" si="28"/>
        <v>0</v>
      </c>
      <c r="BK28" s="23" t="str">
        <f>IF(SUMPRODUCT($J$62:BJ$62,$J28:BJ28)&lt;0.5, "Pending", IF(BJ28&lt;0.5, "Complete", "In Progress"))</f>
        <v>Complete</v>
      </c>
      <c r="BL28" s="22">
        <v>0</v>
      </c>
      <c r="BM28" s="22">
        <f t="shared" si="29"/>
        <v>0</v>
      </c>
      <c r="BN28" s="23" t="str">
        <f>IF(SUMPRODUCT($J$62:BM$62,$J28:BM28)&lt;0.5, "Pending", IF(BM28&lt;0.5, "Complete", "In Progress"))</f>
        <v>Complete</v>
      </c>
      <c r="BO28" s="22">
        <v>0</v>
      </c>
      <c r="BP28" s="22">
        <f t="shared" si="30"/>
        <v>0</v>
      </c>
      <c r="BQ28" s="23" t="str">
        <f>IF(SUMPRODUCT($J$62:BP$62,$J28:BP28)&lt;0.5, "Pending", IF(BP28&lt;0.5, "Complete", "In Progress"))</f>
        <v>Complete</v>
      </c>
      <c r="BR28" s="22">
        <v>0</v>
      </c>
      <c r="BS28" s="22">
        <f t="shared" si="31"/>
        <v>0</v>
      </c>
      <c r="BT28" s="23" t="str">
        <f>IF(SUMPRODUCT($J$62:BS$62,$J28:BS28)&lt;0.5, "Pending", IF(BS28&lt;0.5, "Complete", "In Progress"))</f>
        <v>Complete</v>
      </c>
      <c r="BU28" s="22">
        <v>0</v>
      </c>
      <c r="BV28" s="22">
        <f t="shared" si="32"/>
        <v>0</v>
      </c>
      <c r="BW28" s="23" t="str">
        <f>IF(SUMPRODUCT($J$62:BV$62,$J28:BV28)&lt;0.5, "Pending", IF(BV28&lt;0.5, "Complete", "In Progress"))</f>
        <v>Complete</v>
      </c>
      <c r="BX28" s="22">
        <v>0</v>
      </c>
      <c r="BY28" s="22">
        <f t="shared" si="33"/>
        <v>0</v>
      </c>
      <c r="BZ28" s="23" t="str">
        <f>IF(SUMPRODUCT($J$62:BY$62,$J28:BY28)&lt;0.5, "Pending", IF(BY28&lt;0.5, "Complete", "In Progress"))</f>
        <v>Complete</v>
      </c>
      <c r="CA28" s="22">
        <v>0</v>
      </c>
      <c r="CB28" s="22">
        <f t="shared" si="34"/>
        <v>0</v>
      </c>
      <c r="CC28" s="23" t="str">
        <f>IF(SUMPRODUCT($J$62:CB$62,$J28:CB28)&lt;0.5, "Pending", IF(CB28&lt;0.5, "Complete", "In Progress"))</f>
        <v>Complete</v>
      </c>
      <c r="CD28" s="22">
        <v>0</v>
      </c>
      <c r="CE28" s="22">
        <f t="shared" si="35"/>
        <v>0</v>
      </c>
      <c r="CF28" s="23" t="str">
        <f>IF(SUMPRODUCT($J$62:CE$62,$J28:CE28)&lt;0.5, "Pending", IF(CE28&lt;0.5, "Complete", "In Progress"))</f>
        <v>Complete</v>
      </c>
      <c r="CG28" s="22">
        <v>0</v>
      </c>
      <c r="CH28" s="22">
        <f t="shared" si="36"/>
        <v>0</v>
      </c>
      <c r="CI28" s="23" t="str">
        <f>IF(SUMPRODUCT($J$62:CH$62,$J28:CH28)&lt;0.5, "Pending", IF(CH28&lt;0.5, "Complete", "In Progress"))</f>
        <v>Complete</v>
      </c>
      <c r="CJ28" s="22">
        <v>0</v>
      </c>
      <c r="CK28" s="22">
        <f t="shared" si="37"/>
        <v>0</v>
      </c>
      <c r="CL28" s="23" t="str">
        <f>IF(SUMPRODUCT($J$62:CK$62,$J28:CK28)&lt;0.5, "Pending", IF(CK28&lt;0.5, "Complete", "In Progress"))</f>
        <v>Complete</v>
      </c>
      <c r="CM28" s="22">
        <v>0</v>
      </c>
      <c r="CN28" s="22">
        <f t="shared" si="38"/>
        <v>0</v>
      </c>
      <c r="CO28" s="23" t="str">
        <f>IF(SUMPRODUCT($J$62:CN$62,$J28:CN28)&lt;0.5, "Pending", IF(CN28&lt;0.5, "Complete", "In Progress"))</f>
        <v>Complete</v>
      </c>
      <c r="CP28" s="22">
        <v>0</v>
      </c>
      <c r="CQ28" s="22">
        <f t="shared" si="39"/>
        <v>0</v>
      </c>
      <c r="CR28" s="23" t="str">
        <f>IF(SUMPRODUCT($J$62:CQ$62,$J28:CQ28)&lt;0.5, "Pending", IF(CQ28&lt;0.5, "Complete", "In Progress"))</f>
        <v>Complete</v>
      </c>
      <c r="CS28" s="22">
        <v>0</v>
      </c>
      <c r="CT28" s="22">
        <f t="shared" si="40"/>
        <v>0</v>
      </c>
      <c r="CU28" s="23" t="str">
        <f>IF(SUMPRODUCT($J$62:CT$62,$J28:CT28)&lt;0.5, "Pending", IF(CT28&lt;0.5, "Complete", "In Progress"))</f>
        <v>Complete</v>
      </c>
      <c r="CV28" s="22">
        <v>0</v>
      </c>
      <c r="CW28" s="22">
        <f t="shared" si="41"/>
        <v>0</v>
      </c>
      <c r="CX28" s="23" t="str">
        <f>IF(SUMPRODUCT($J$62:CW$62,$J28:CW28)&lt;0.5, "Pending", IF(CW28&lt;0.5, "Complete", "In Progress"))</f>
        <v>Complete</v>
      </c>
      <c r="CY28" s="22">
        <v>0</v>
      </c>
      <c r="CZ28" s="22">
        <f t="shared" si="42"/>
        <v>0</v>
      </c>
      <c r="DA28" s="23" t="str">
        <f>IF(SUMPRODUCT($J$62:CZ$62,$J28:CZ28)&lt;0.5, "Pending", IF(CZ28&lt;0.5, "Complete", "In Progress"))</f>
        <v>Complete</v>
      </c>
      <c r="DB28" s="22">
        <v>0</v>
      </c>
      <c r="DC28" s="22">
        <f t="shared" si="43"/>
        <v>0</v>
      </c>
      <c r="DD28" s="23" t="str">
        <f>IF(SUMPRODUCT($J$62:DC$62,$J28:DC28)&lt;0.5, "Pending", IF(DC28&lt;0.5, "Complete", "In Progress"))</f>
        <v>Complete</v>
      </c>
      <c r="DE28" s="22">
        <v>0</v>
      </c>
      <c r="DF28" s="22">
        <f t="shared" si="44"/>
        <v>0</v>
      </c>
      <c r="DG28" s="23" t="str">
        <f>IF(SUMPRODUCT($J$62:DF$62,$J28:DF28)&lt;0.5, "Pending", IF(DF28&lt;0.5, "Complete", "In Progress"))</f>
        <v>Complete</v>
      </c>
      <c r="DH28" s="22">
        <v>0</v>
      </c>
      <c r="DI28" s="22">
        <f t="shared" si="45"/>
        <v>0</v>
      </c>
      <c r="DJ28" s="23" t="str">
        <f>IF(SUMPRODUCT($J$62:DI$62,$J28:DI28)&lt;0.5, "Pending", IF(DI28&lt;0.5, "Complete", "In Progress"))</f>
        <v>Complete</v>
      </c>
      <c r="DK28" s="22">
        <v>0</v>
      </c>
      <c r="DL28" s="22">
        <f t="shared" si="46"/>
        <v>0</v>
      </c>
      <c r="DM28" s="23" t="str">
        <f>IF(SUMPRODUCT($J$62:DL$62,$J28:DL28)&lt;0.5, "Pending", IF(DL28&lt;0.5, "Complete", "In Progress"))</f>
        <v>Complete</v>
      </c>
      <c r="DN28" s="22">
        <v>0</v>
      </c>
      <c r="DO28" s="22">
        <f t="shared" si="47"/>
        <v>0</v>
      </c>
      <c r="DP28" s="23" t="str">
        <f>IF(SUMPRODUCT($J$62:DO$62,$J28:DO28)&lt;0.5, "Pending", IF(DO28&lt;0.5, "Complete", "In Progress"))</f>
        <v>Complete</v>
      </c>
      <c r="DQ28" s="22">
        <v>0</v>
      </c>
      <c r="DR28" s="22">
        <f t="shared" si="48"/>
        <v>0</v>
      </c>
      <c r="DS28" s="23" t="str">
        <f>IF(SUMPRODUCT($J$62:DR$62,$J28:DR28)&lt;0.5, "Pending", IF(DR28&lt;0.5, "Complete", "In Progress"))</f>
        <v>Complete</v>
      </c>
      <c r="DT28" s="22">
        <v>0</v>
      </c>
      <c r="DU28" s="22">
        <f t="shared" si="49"/>
        <v>0</v>
      </c>
      <c r="DV28" s="23" t="str">
        <f>IF(SUMPRODUCT($J$62:DU$62,$J28:DU28)&lt;0.5, "Pending", IF(DU28&lt;0.5, "Complete", "In Progress"))</f>
        <v>Complete</v>
      </c>
      <c r="DW28" s="22">
        <v>0</v>
      </c>
      <c r="DX28" s="22">
        <f t="shared" si="50"/>
        <v>0</v>
      </c>
      <c r="DY28" s="23" t="str">
        <f>IF(SUMPRODUCT($J$62:DX$62,$J28:DX28)&lt;0.5, "Pending", IF(DX28&lt;0.5, "Complete", "In Progress"))</f>
        <v>Complete</v>
      </c>
      <c r="DZ28" s="24"/>
      <c r="EA28" s="25">
        <f>SUMPRODUCT($H$62:DG$62,$H28:DG28)</f>
        <v>4</v>
      </c>
    </row>
    <row r="29" spans="1:131" x14ac:dyDescent="0.25">
      <c r="A29" s="16" t="s">
        <v>119</v>
      </c>
      <c r="B29" s="16" t="s">
        <v>136</v>
      </c>
      <c r="C29" s="16" t="s">
        <v>121</v>
      </c>
      <c r="D29" s="17">
        <v>7</v>
      </c>
      <c r="E29" s="199" t="s">
        <v>145</v>
      </c>
      <c r="F29" s="18" t="s">
        <v>134</v>
      </c>
      <c r="G29" s="19" t="s">
        <v>166</v>
      </c>
      <c r="H29" s="20">
        <v>1</v>
      </c>
      <c r="I29" s="21">
        <v>24</v>
      </c>
      <c r="J29" s="22">
        <v>12</v>
      </c>
      <c r="K29" s="22">
        <f t="shared" si="11"/>
        <v>12</v>
      </c>
      <c r="L29" s="23" t="str">
        <f>IF(SUMPRODUCT($J$62:K$62,$J29:K29)&lt;0.5, "Pending", IF(K29&lt;0.5, "Complete", "In Progress"))</f>
        <v>In Progress</v>
      </c>
      <c r="M29" s="22">
        <v>0</v>
      </c>
      <c r="N29" s="22">
        <f t="shared" si="12"/>
        <v>12</v>
      </c>
      <c r="O29" s="23" t="str">
        <f>IF(SUMPRODUCT($J$62:N$62,$J29:N29)&lt;0.5, "Pending", IF(N29&lt;0.5, "Complete", "In Progress"))</f>
        <v>In Progress</v>
      </c>
      <c r="P29" s="22">
        <v>0</v>
      </c>
      <c r="Q29" s="22">
        <f t="shared" si="13"/>
        <v>12</v>
      </c>
      <c r="R29" s="23" t="str">
        <f>IF(SUMPRODUCT($J$62:Q$62,$J29:Q29)&lt;0.5, "Pending", IF(Q29&lt;0.5, "Complete", "In Progress"))</f>
        <v>In Progress</v>
      </c>
      <c r="S29" s="22">
        <v>0</v>
      </c>
      <c r="T29" s="22">
        <f t="shared" si="14"/>
        <v>12</v>
      </c>
      <c r="U29" s="23" t="str">
        <f>IF(SUMPRODUCT($J$62:T$62,$J29:T29)&lt;0.5, "Pending", IF(T29&lt;0.5, "Complete", "In Progress"))</f>
        <v>In Progress</v>
      </c>
      <c r="V29" s="22">
        <v>0</v>
      </c>
      <c r="W29" s="22">
        <f t="shared" si="15"/>
        <v>12</v>
      </c>
      <c r="X29" s="23" t="str">
        <f>IF(SUMPRODUCT($J$62:W$62,$J29:W29)&lt;0.5, "Pending", IF(W29&lt;0.5, "Complete", "In Progress"))</f>
        <v>In Progress</v>
      </c>
      <c r="Y29" s="22">
        <v>0</v>
      </c>
      <c r="Z29" s="22">
        <f t="shared" si="16"/>
        <v>12</v>
      </c>
      <c r="AA29" s="23" t="str">
        <f>IF(SUMPRODUCT($J$62:Z$62,$J29:Z29)&lt;0.5, "Pending", IF(Z29&lt;0.5, "Complete", "In Progress"))</f>
        <v>In Progress</v>
      </c>
      <c r="AB29" s="22">
        <v>0</v>
      </c>
      <c r="AC29" s="22">
        <f t="shared" si="17"/>
        <v>12</v>
      </c>
      <c r="AD29" s="23" t="str">
        <f>IF(SUMPRODUCT($J$62:AC$62,$J29:AC29)&lt;0.5, "Pending", IF(AC29&lt;0.5, "Complete", "In Progress"))</f>
        <v>In Progress</v>
      </c>
      <c r="AE29" s="22">
        <v>0</v>
      </c>
      <c r="AF29" s="22">
        <f t="shared" si="18"/>
        <v>12</v>
      </c>
      <c r="AG29" s="23" t="str">
        <f>IF(SUMPRODUCT($J$62:AF$62,$J29:AF29)&lt;0.5, "Pending", IF(AF29&lt;0.5, "Complete", "In Progress"))</f>
        <v>In Progress</v>
      </c>
      <c r="AH29" s="22">
        <v>0</v>
      </c>
      <c r="AI29" s="22">
        <f t="shared" si="19"/>
        <v>12</v>
      </c>
      <c r="AJ29" s="23" t="str">
        <f>IF(SUMPRODUCT($J$62:AI$62,$J29:AI29)&lt;0.5, "Pending", IF(AI29&lt;0.5, "Complete", "In Progress"))</f>
        <v>In Progress</v>
      </c>
      <c r="AK29" s="22">
        <v>0</v>
      </c>
      <c r="AL29" s="22">
        <f t="shared" si="20"/>
        <v>12</v>
      </c>
      <c r="AM29" s="23" t="str">
        <f>IF(SUMPRODUCT($J$62:AL$62,$J29:AL29)&lt;0.5, "Pending", IF(AL29&lt;0.5, "Complete", "In Progress"))</f>
        <v>In Progress</v>
      </c>
      <c r="AN29" s="22">
        <v>0</v>
      </c>
      <c r="AO29" s="22">
        <f t="shared" si="21"/>
        <v>12</v>
      </c>
      <c r="AP29" s="23" t="str">
        <f>IF(SUMPRODUCT($J$62:AO$62,$J29:AO29)&lt;0.5, "Pending", IF(AO29&lt;0.5, "Complete", "In Progress"))</f>
        <v>In Progress</v>
      </c>
      <c r="AQ29" s="22">
        <v>0</v>
      </c>
      <c r="AR29" s="22">
        <f t="shared" si="22"/>
        <v>12</v>
      </c>
      <c r="AS29" s="23" t="str">
        <f>IF(SUMPRODUCT($J$62:AR$62,$J29:AR29)&lt;0.5, "Pending", IF(AR29&lt;0.5, "Complete", "In Progress"))</f>
        <v>In Progress</v>
      </c>
      <c r="AT29" s="22">
        <v>0</v>
      </c>
      <c r="AU29" s="22">
        <f t="shared" si="23"/>
        <v>12</v>
      </c>
      <c r="AV29" s="23" t="str">
        <f>IF(SUMPRODUCT($J$62:AU$62,$J29:AU29)&lt;0.5, "Pending", IF(AU29&lt;0.5, "Complete", "In Progress"))</f>
        <v>In Progress</v>
      </c>
      <c r="AW29" s="22">
        <v>0</v>
      </c>
      <c r="AX29" s="22">
        <f t="shared" si="24"/>
        <v>12</v>
      </c>
      <c r="AY29" s="23" t="str">
        <f>IF(SUMPRODUCT($J$62:AX$62,$J29:AX29)&lt;0.5, "Pending", IF(AX29&lt;0.5, "Complete", "In Progress"))</f>
        <v>In Progress</v>
      </c>
      <c r="AZ29" s="22">
        <v>0</v>
      </c>
      <c r="BA29" s="22">
        <f t="shared" si="25"/>
        <v>12</v>
      </c>
      <c r="BB29" s="23" t="str">
        <f>IF(SUMPRODUCT($J$62:BA$62,$J29:BA29)&lt;0.5, "Pending", IF(BA29&lt;0.5, "Complete", "In Progress"))</f>
        <v>In Progress</v>
      </c>
      <c r="BC29" s="22">
        <v>0</v>
      </c>
      <c r="BD29" s="22">
        <f t="shared" si="26"/>
        <v>12</v>
      </c>
      <c r="BE29" s="23" t="str">
        <f>IF(SUMPRODUCT($J$62:BD$62,$J29:BD29)&lt;0.5, "Pending", IF(BD29&lt;0.5, "Complete", "In Progress"))</f>
        <v>In Progress</v>
      </c>
      <c r="BF29" s="22">
        <v>0</v>
      </c>
      <c r="BG29" s="22">
        <f t="shared" si="27"/>
        <v>12</v>
      </c>
      <c r="BH29" s="23" t="str">
        <f>IF(SUMPRODUCT($J$62:BG$62,$J29:BG29)&lt;0.5, "Pending", IF(BG29&lt;0.5, "Complete", "In Progress"))</f>
        <v>In Progress</v>
      </c>
      <c r="BI29" s="22">
        <v>0</v>
      </c>
      <c r="BJ29" s="22">
        <f t="shared" si="28"/>
        <v>12</v>
      </c>
      <c r="BK29" s="23" t="str">
        <f>IF(SUMPRODUCT($J$62:BJ$62,$J29:BJ29)&lt;0.5, "Pending", IF(BJ29&lt;0.5, "Complete", "In Progress"))</f>
        <v>In Progress</v>
      </c>
      <c r="BL29" s="22">
        <v>0</v>
      </c>
      <c r="BM29" s="22">
        <f t="shared" si="29"/>
        <v>12</v>
      </c>
      <c r="BN29" s="23" t="str">
        <f>IF(SUMPRODUCT($J$62:BM$62,$J29:BM29)&lt;0.5, "Pending", IF(BM29&lt;0.5, "Complete", "In Progress"))</f>
        <v>In Progress</v>
      </c>
      <c r="BO29" s="22">
        <v>0</v>
      </c>
      <c r="BP29" s="22">
        <f t="shared" si="30"/>
        <v>12</v>
      </c>
      <c r="BQ29" s="23" t="str">
        <f>IF(SUMPRODUCT($J$62:BP$62,$J29:BP29)&lt;0.5, "Pending", IF(BP29&lt;0.5, "Complete", "In Progress"))</f>
        <v>In Progress</v>
      </c>
      <c r="BR29" s="22">
        <v>0</v>
      </c>
      <c r="BS29" s="22">
        <f t="shared" si="31"/>
        <v>12</v>
      </c>
      <c r="BT29" s="23" t="str">
        <f>IF(SUMPRODUCT($J$62:BS$62,$J29:BS29)&lt;0.5, "Pending", IF(BS29&lt;0.5, "Complete", "In Progress"))</f>
        <v>In Progress</v>
      </c>
      <c r="BU29" s="22">
        <v>0</v>
      </c>
      <c r="BV29" s="22">
        <f t="shared" si="32"/>
        <v>12</v>
      </c>
      <c r="BW29" s="23" t="str">
        <f>IF(SUMPRODUCT($J$62:BV$62,$J29:BV29)&lt;0.5, "Pending", IF(BV29&lt;0.5, "Complete", "In Progress"))</f>
        <v>In Progress</v>
      </c>
      <c r="BX29" s="22">
        <v>0</v>
      </c>
      <c r="BY29" s="22">
        <f t="shared" si="33"/>
        <v>12</v>
      </c>
      <c r="BZ29" s="23" t="str">
        <f>IF(SUMPRODUCT($J$62:BY$62,$J29:BY29)&lt;0.5, "Pending", IF(BY29&lt;0.5, "Complete", "In Progress"))</f>
        <v>In Progress</v>
      </c>
      <c r="CA29" s="22">
        <v>0</v>
      </c>
      <c r="CB29" s="22">
        <f t="shared" si="34"/>
        <v>12</v>
      </c>
      <c r="CC29" s="23" t="str">
        <f>IF(SUMPRODUCT($J$62:CB$62,$J29:CB29)&lt;0.5, "Pending", IF(CB29&lt;0.5, "Complete", "In Progress"))</f>
        <v>In Progress</v>
      </c>
      <c r="CD29" s="22">
        <v>0</v>
      </c>
      <c r="CE29" s="22">
        <f t="shared" si="35"/>
        <v>12</v>
      </c>
      <c r="CF29" s="23" t="str">
        <f>IF(SUMPRODUCT($J$62:CE$62,$J29:CE29)&lt;0.5, "Pending", IF(CE29&lt;0.5, "Complete", "In Progress"))</f>
        <v>In Progress</v>
      </c>
      <c r="CG29" s="22">
        <v>0</v>
      </c>
      <c r="CH29" s="22">
        <f t="shared" si="36"/>
        <v>12</v>
      </c>
      <c r="CI29" s="23" t="str">
        <f>IF(SUMPRODUCT($J$62:CH$62,$J29:CH29)&lt;0.5, "Pending", IF(CH29&lt;0.5, "Complete", "In Progress"))</f>
        <v>In Progress</v>
      </c>
      <c r="CJ29" s="22">
        <v>0</v>
      </c>
      <c r="CK29" s="22">
        <f t="shared" si="37"/>
        <v>12</v>
      </c>
      <c r="CL29" s="23" t="str">
        <f>IF(SUMPRODUCT($J$62:CK$62,$J29:CK29)&lt;0.5, "Pending", IF(CK29&lt;0.5, "Complete", "In Progress"))</f>
        <v>In Progress</v>
      </c>
      <c r="CM29" s="22">
        <v>0</v>
      </c>
      <c r="CN29" s="22">
        <f t="shared" si="38"/>
        <v>12</v>
      </c>
      <c r="CO29" s="23" t="str">
        <f>IF(SUMPRODUCT($J$62:CN$62,$J29:CN29)&lt;0.5, "Pending", IF(CN29&lt;0.5, "Complete", "In Progress"))</f>
        <v>In Progress</v>
      </c>
      <c r="CP29" s="22">
        <v>0</v>
      </c>
      <c r="CQ29" s="22">
        <f t="shared" si="39"/>
        <v>12</v>
      </c>
      <c r="CR29" s="23" t="str">
        <f>IF(SUMPRODUCT($J$62:CQ$62,$J29:CQ29)&lt;0.5, "Pending", IF(CQ29&lt;0.5, "Complete", "In Progress"))</f>
        <v>In Progress</v>
      </c>
      <c r="CS29" s="22">
        <v>0</v>
      </c>
      <c r="CT29" s="22">
        <f t="shared" si="40"/>
        <v>12</v>
      </c>
      <c r="CU29" s="23" t="str">
        <f>IF(SUMPRODUCT($J$62:CT$62,$J29:CT29)&lt;0.5, "Pending", IF(CT29&lt;0.5, "Complete", "In Progress"))</f>
        <v>In Progress</v>
      </c>
      <c r="CV29" s="22">
        <v>0</v>
      </c>
      <c r="CW29" s="22">
        <f t="shared" si="41"/>
        <v>12</v>
      </c>
      <c r="CX29" s="23" t="str">
        <f>IF(SUMPRODUCT($J$62:CW$62,$J29:CW29)&lt;0.5, "Pending", IF(CW29&lt;0.5, "Complete", "In Progress"))</f>
        <v>In Progress</v>
      </c>
      <c r="CY29" s="22">
        <v>0</v>
      </c>
      <c r="CZ29" s="22">
        <f t="shared" si="42"/>
        <v>12</v>
      </c>
      <c r="DA29" s="23" t="str">
        <f>IF(SUMPRODUCT($J$62:CZ$62,$J29:CZ29)&lt;0.5, "Pending", IF(CZ29&lt;0.5, "Complete", "In Progress"))</f>
        <v>In Progress</v>
      </c>
      <c r="DB29" s="22">
        <v>0</v>
      </c>
      <c r="DC29" s="22">
        <f t="shared" si="43"/>
        <v>12</v>
      </c>
      <c r="DD29" s="23" t="str">
        <f>IF(SUMPRODUCT($J$62:DC$62,$J29:DC29)&lt;0.5, "Pending", IF(DC29&lt;0.5, "Complete", "In Progress"))</f>
        <v>In Progress</v>
      </c>
      <c r="DE29" s="22">
        <v>0</v>
      </c>
      <c r="DF29" s="22">
        <f t="shared" si="44"/>
        <v>12</v>
      </c>
      <c r="DG29" s="23" t="str">
        <f>IF(SUMPRODUCT($J$62:DF$62,$J29:DF29)&lt;0.5, "Pending", IF(DF29&lt;0.5, "Complete", "In Progress"))</f>
        <v>In Progress</v>
      </c>
      <c r="DH29" s="22">
        <v>0</v>
      </c>
      <c r="DI29" s="22">
        <f t="shared" si="45"/>
        <v>12</v>
      </c>
      <c r="DJ29" s="23" t="str">
        <f>IF(SUMPRODUCT($J$62:DI$62,$J29:DI29)&lt;0.5, "Pending", IF(DI29&lt;0.5, "Complete", "In Progress"))</f>
        <v>In Progress</v>
      </c>
      <c r="DK29" s="22">
        <v>0</v>
      </c>
      <c r="DL29" s="22">
        <f t="shared" si="46"/>
        <v>12</v>
      </c>
      <c r="DM29" s="23" t="str">
        <f>IF(SUMPRODUCT($J$62:DL$62,$J29:DL29)&lt;0.5, "Pending", IF(DL29&lt;0.5, "Complete", "In Progress"))</f>
        <v>In Progress</v>
      </c>
      <c r="DN29" s="22">
        <v>0</v>
      </c>
      <c r="DO29" s="22">
        <f t="shared" si="47"/>
        <v>12</v>
      </c>
      <c r="DP29" s="23" t="str">
        <f>IF(SUMPRODUCT($J$62:DO$62,$J29:DO29)&lt;0.5, "Pending", IF(DO29&lt;0.5, "Complete", "In Progress"))</f>
        <v>In Progress</v>
      </c>
      <c r="DQ29" s="22">
        <v>0</v>
      </c>
      <c r="DR29" s="22">
        <f t="shared" si="48"/>
        <v>12</v>
      </c>
      <c r="DS29" s="23" t="str">
        <f>IF(SUMPRODUCT($J$62:DR$62,$J29:DR29)&lt;0.5, "Pending", IF(DR29&lt;0.5, "Complete", "In Progress"))</f>
        <v>In Progress</v>
      </c>
      <c r="DT29" s="22">
        <v>0</v>
      </c>
      <c r="DU29" s="22">
        <f t="shared" si="49"/>
        <v>12</v>
      </c>
      <c r="DV29" s="23" t="str">
        <f>IF(SUMPRODUCT($J$62:DU$62,$J29:DU29)&lt;0.5, "Pending", IF(DU29&lt;0.5, "Complete", "In Progress"))</f>
        <v>In Progress</v>
      </c>
      <c r="DW29" s="22">
        <v>0</v>
      </c>
      <c r="DX29" s="22">
        <f t="shared" si="50"/>
        <v>12</v>
      </c>
      <c r="DY29" s="23" t="str">
        <f>IF(SUMPRODUCT($J$62:DX$62,$J29:DX29)&lt;0.5, "Pending", IF(DX29&lt;0.5, "Complete", "In Progress"))</f>
        <v>In Progress</v>
      </c>
      <c r="DZ29" s="24"/>
      <c r="EA29" s="25">
        <f>SUMPRODUCT($H$62:DG$62,$H29:DG29)</f>
        <v>12</v>
      </c>
    </row>
    <row r="30" spans="1:131" x14ac:dyDescent="0.25">
      <c r="A30" s="16" t="s">
        <v>138</v>
      </c>
      <c r="B30" s="16" t="s">
        <v>136</v>
      </c>
      <c r="C30" s="16" t="s">
        <v>121</v>
      </c>
      <c r="D30" s="17">
        <v>7</v>
      </c>
      <c r="E30" s="199" t="s">
        <v>146</v>
      </c>
      <c r="F30" s="18" t="s">
        <v>134</v>
      </c>
      <c r="G30" s="19" t="s">
        <v>166</v>
      </c>
      <c r="H30" s="20">
        <v>1</v>
      </c>
      <c r="I30" s="21">
        <v>12</v>
      </c>
      <c r="J30" s="22">
        <v>0</v>
      </c>
      <c r="K30" s="22">
        <f t="shared" si="11"/>
        <v>12</v>
      </c>
      <c r="L30" s="23" t="str">
        <f>IF(SUMPRODUCT($J$62:K$62,$J30:K30)&lt;0.5, "Pending", IF(K30&lt;0.5, "Complete", "In Progress"))</f>
        <v>Pending</v>
      </c>
      <c r="M30" s="22">
        <v>0</v>
      </c>
      <c r="N30" s="22">
        <f t="shared" si="12"/>
        <v>12</v>
      </c>
      <c r="O30" s="23" t="str">
        <f>IF(SUMPRODUCT($J$62:N$62,$J30:N30)&lt;0.5, "Pending", IF(N30&lt;0.5, "Complete", "In Progress"))</f>
        <v>Pending</v>
      </c>
      <c r="P30" s="22">
        <v>0</v>
      </c>
      <c r="Q30" s="22">
        <f t="shared" si="13"/>
        <v>12</v>
      </c>
      <c r="R30" s="23" t="str">
        <f>IF(SUMPRODUCT($J$62:Q$62,$J30:Q30)&lt;0.5, "Pending", IF(Q30&lt;0.5, "Complete", "In Progress"))</f>
        <v>Pending</v>
      </c>
      <c r="S30" s="22">
        <v>0</v>
      </c>
      <c r="T30" s="22">
        <f t="shared" si="14"/>
        <v>12</v>
      </c>
      <c r="U30" s="23" t="str">
        <f>IF(SUMPRODUCT($J$62:T$62,$J30:T30)&lt;0.5, "Pending", IF(T30&lt;0.5, "Complete", "In Progress"))</f>
        <v>Pending</v>
      </c>
      <c r="V30" s="22">
        <v>0</v>
      </c>
      <c r="W30" s="22">
        <f t="shared" si="15"/>
        <v>12</v>
      </c>
      <c r="X30" s="23" t="str">
        <f>IF(SUMPRODUCT($J$62:W$62,$J30:W30)&lt;0.5, "Pending", IF(W30&lt;0.5, "Complete", "In Progress"))</f>
        <v>Pending</v>
      </c>
      <c r="Y30" s="22">
        <v>0</v>
      </c>
      <c r="Z30" s="22">
        <f t="shared" si="16"/>
        <v>12</v>
      </c>
      <c r="AA30" s="23" t="str">
        <f>IF(SUMPRODUCT($J$62:Z$62,$J30:Z30)&lt;0.5, "Pending", IF(Z30&lt;0.5, "Complete", "In Progress"))</f>
        <v>Pending</v>
      </c>
      <c r="AB30" s="22">
        <v>0</v>
      </c>
      <c r="AC30" s="22">
        <f t="shared" si="17"/>
        <v>12</v>
      </c>
      <c r="AD30" s="23" t="str">
        <f>IF(SUMPRODUCT($J$62:AC$62,$J30:AC30)&lt;0.5, "Pending", IF(AC30&lt;0.5, "Complete", "In Progress"))</f>
        <v>Pending</v>
      </c>
      <c r="AE30" s="22">
        <v>0</v>
      </c>
      <c r="AF30" s="22">
        <f t="shared" si="18"/>
        <v>12</v>
      </c>
      <c r="AG30" s="23" t="str">
        <f>IF(SUMPRODUCT($J$62:AF$62,$J30:AF30)&lt;0.5, "Pending", IF(AF30&lt;0.5, "Complete", "In Progress"))</f>
        <v>Pending</v>
      </c>
      <c r="AH30" s="22">
        <v>0</v>
      </c>
      <c r="AI30" s="22">
        <f t="shared" si="19"/>
        <v>12</v>
      </c>
      <c r="AJ30" s="23" t="str">
        <f>IF(SUMPRODUCT($J$62:AI$62,$J30:AI30)&lt;0.5, "Pending", IF(AI30&lt;0.5, "Complete", "In Progress"))</f>
        <v>Pending</v>
      </c>
      <c r="AK30" s="22">
        <v>0</v>
      </c>
      <c r="AL30" s="22">
        <f t="shared" si="20"/>
        <v>12</v>
      </c>
      <c r="AM30" s="23" t="str">
        <f>IF(SUMPRODUCT($J$62:AL$62,$J30:AL30)&lt;0.5, "Pending", IF(AL30&lt;0.5, "Complete", "In Progress"))</f>
        <v>Pending</v>
      </c>
      <c r="AN30" s="22">
        <v>0</v>
      </c>
      <c r="AO30" s="22">
        <f t="shared" si="21"/>
        <v>12</v>
      </c>
      <c r="AP30" s="23" t="str">
        <f>IF(SUMPRODUCT($J$62:AO$62,$J30:AO30)&lt;0.5, "Pending", IF(AO30&lt;0.5, "Complete", "In Progress"))</f>
        <v>Pending</v>
      </c>
      <c r="AQ30" s="22">
        <v>0</v>
      </c>
      <c r="AR30" s="22">
        <f t="shared" si="22"/>
        <v>12</v>
      </c>
      <c r="AS30" s="23" t="str">
        <f>IF(SUMPRODUCT($J$62:AR$62,$J30:AR30)&lt;0.5, "Pending", IF(AR30&lt;0.5, "Complete", "In Progress"))</f>
        <v>Pending</v>
      </c>
      <c r="AT30" s="22">
        <v>0</v>
      </c>
      <c r="AU30" s="22">
        <f t="shared" si="23"/>
        <v>12</v>
      </c>
      <c r="AV30" s="23" t="str">
        <f>IF(SUMPRODUCT($J$62:AU$62,$J30:AU30)&lt;0.5, "Pending", IF(AU30&lt;0.5, "Complete", "In Progress"))</f>
        <v>Pending</v>
      </c>
      <c r="AW30" s="22">
        <v>0</v>
      </c>
      <c r="AX30" s="22">
        <f t="shared" si="24"/>
        <v>12</v>
      </c>
      <c r="AY30" s="23" t="str">
        <f>IF(SUMPRODUCT($J$62:AX$62,$J30:AX30)&lt;0.5, "Pending", IF(AX30&lt;0.5, "Complete", "In Progress"))</f>
        <v>Pending</v>
      </c>
      <c r="AZ30" s="22">
        <v>0</v>
      </c>
      <c r="BA30" s="22">
        <f t="shared" si="25"/>
        <v>12</v>
      </c>
      <c r="BB30" s="23" t="str">
        <f>IF(SUMPRODUCT($J$62:BA$62,$J30:BA30)&lt;0.5, "Pending", IF(BA30&lt;0.5, "Complete", "In Progress"))</f>
        <v>Pending</v>
      </c>
      <c r="BC30" s="22">
        <v>0</v>
      </c>
      <c r="BD30" s="22">
        <f t="shared" si="26"/>
        <v>12</v>
      </c>
      <c r="BE30" s="23" t="str">
        <f>IF(SUMPRODUCT($J$62:BD$62,$J30:BD30)&lt;0.5, "Pending", IF(BD30&lt;0.5, "Complete", "In Progress"))</f>
        <v>Pending</v>
      </c>
      <c r="BF30" s="22">
        <v>0</v>
      </c>
      <c r="BG30" s="22">
        <f t="shared" si="27"/>
        <v>12</v>
      </c>
      <c r="BH30" s="23" t="str">
        <f>IF(SUMPRODUCT($J$62:BG$62,$J30:BG30)&lt;0.5, "Pending", IF(BG30&lt;0.5, "Complete", "In Progress"))</f>
        <v>Pending</v>
      </c>
      <c r="BI30" s="22">
        <v>0</v>
      </c>
      <c r="BJ30" s="22">
        <f t="shared" si="28"/>
        <v>12</v>
      </c>
      <c r="BK30" s="23" t="str">
        <f>IF(SUMPRODUCT($J$62:BJ$62,$J30:BJ30)&lt;0.5, "Pending", IF(BJ30&lt;0.5, "Complete", "In Progress"))</f>
        <v>Pending</v>
      </c>
      <c r="BL30" s="22">
        <v>0</v>
      </c>
      <c r="BM30" s="22">
        <f t="shared" si="29"/>
        <v>12</v>
      </c>
      <c r="BN30" s="23" t="str">
        <f>IF(SUMPRODUCT($J$62:BM$62,$J30:BM30)&lt;0.5, "Pending", IF(BM30&lt;0.5, "Complete", "In Progress"))</f>
        <v>Pending</v>
      </c>
      <c r="BO30" s="22">
        <v>0</v>
      </c>
      <c r="BP30" s="22">
        <f t="shared" si="30"/>
        <v>12</v>
      </c>
      <c r="BQ30" s="23" t="str">
        <f>IF(SUMPRODUCT($J$62:BP$62,$J30:BP30)&lt;0.5, "Pending", IF(BP30&lt;0.5, "Complete", "In Progress"))</f>
        <v>Pending</v>
      </c>
      <c r="BR30" s="22">
        <v>0</v>
      </c>
      <c r="BS30" s="22">
        <f t="shared" si="31"/>
        <v>12</v>
      </c>
      <c r="BT30" s="23" t="str">
        <f>IF(SUMPRODUCT($J$62:BS$62,$J30:BS30)&lt;0.5, "Pending", IF(BS30&lt;0.5, "Complete", "In Progress"))</f>
        <v>Pending</v>
      </c>
      <c r="BU30" s="22">
        <v>0</v>
      </c>
      <c r="BV30" s="22">
        <f t="shared" si="32"/>
        <v>12</v>
      </c>
      <c r="BW30" s="23" t="str">
        <f>IF(SUMPRODUCT($J$62:BV$62,$J30:BV30)&lt;0.5, "Pending", IF(BV30&lt;0.5, "Complete", "In Progress"))</f>
        <v>Pending</v>
      </c>
      <c r="BX30" s="22">
        <v>0</v>
      </c>
      <c r="BY30" s="22">
        <f t="shared" si="33"/>
        <v>12</v>
      </c>
      <c r="BZ30" s="23" t="str">
        <f>IF(SUMPRODUCT($J$62:BY$62,$J30:BY30)&lt;0.5, "Pending", IF(BY30&lt;0.5, "Complete", "In Progress"))</f>
        <v>Pending</v>
      </c>
      <c r="CA30" s="22">
        <v>0</v>
      </c>
      <c r="CB30" s="22">
        <f t="shared" si="34"/>
        <v>12</v>
      </c>
      <c r="CC30" s="23" t="str">
        <f>IF(SUMPRODUCT($J$62:CB$62,$J30:CB30)&lt;0.5, "Pending", IF(CB30&lt;0.5, "Complete", "In Progress"))</f>
        <v>Pending</v>
      </c>
      <c r="CD30" s="22">
        <v>0</v>
      </c>
      <c r="CE30" s="22">
        <f t="shared" si="35"/>
        <v>12</v>
      </c>
      <c r="CF30" s="23" t="str">
        <f>IF(SUMPRODUCT($J$62:CE$62,$J30:CE30)&lt;0.5, "Pending", IF(CE30&lt;0.5, "Complete", "In Progress"))</f>
        <v>Pending</v>
      </c>
      <c r="CG30" s="22">
        <v>0</v>
      </c>
      <c r="CH30" s="22">
        <f t="shared" si="36"/>
        <v>12</v>
      </c>
      <c r="CI30" s="23" t="str">
        <f>IF(SUMPRODUCT($J$62:CH$62,$J30:CH30)&lt;0.5, "Pending", IF(CH30&lt;0.5, "Complete", "In Progress"))</f>
        <v>Pending</v>
      </c>
      <c r="CJ30" s="22">
        <v>0</v>
      </c>
      <c r="CK30" s="22">
        <f t="shared" si="37"/>
        <v>12</v>
      </c>
      <c r="CL30" s="23" t="str">
        <f>IF(SUMPRODUCT($J$62:CK$62,$J30:CK30)&lt;0.5, "Pending", IF(CK30&lt;0.5, "Complete", "In Progress"))</f>
        <v>Pending</v>
      </c>
      <c r="CM30" s="22">
        <v>0</v>
      </c>
      <c r="CN30" s="22">
        <f t="shared" si="38"/>
        <v>12</v>
      </c>
      <c r="CO30" s="23" t="str">
        <f>IF(SUMPRODUCT($J$62:CN$62,$J30:CN30)&lt;0.5, "Pending", IF(CN30&lt;0.5, "Complete", "In Progress"))</f>
        <v>Pending</v>
      </c>
      <c r="CP30" s="22">
        <v>0</v>
      </c>
      <c r="CQ30" s="22">
        <f t="shared" si="39"/>
        <v>12</v>
      </c>
      <c r="CR30" s="23" t="str">
        <f>IF(SUMPRODUCT($J$62:CQ$62,$J30:CQ30)&lt;0.5, "Pending", IF(CQ30&lt;0.5, "Complete", "In Progress"))</f>
        <v>Pending</v>
      </c>
      <c r="CS30" s="22">
        <v>0</v>
      </c>
      <c r="CT30" s="22">
        <f t="shared" si="40"/>
        <v>12</v>
      </c>
      <c r="CU30" s="23" t="str">
        <f>IF(SUMPRODUCT($J$62:CT$62,$J30:CT30)&lt;0.5, "Pending", IF(CT30&lt;0.5, "Complete", "In Progress"))</f>
        <v>Pending</v>
      </c>
      <c r="CV30" s="22">
        <v>0</v>
      </c>
      <c r="CW30" s="22">
        <f t="shared" si="41"/>
        <v>12</v>
      </c>
      <c r="CX30" s="23" t="str">
        <f>IF(SUMPRODUCT($J$62:CW$62,$J30:CW30)&lt;0.5, "Pending", IF(CW30&lt;0.5, "Complete", "In Progress"))</f>
        <v>Pending</v>
      </c>
      <c r="CY30" s="22">
        <v>0</v>
      </c>
      <c r="CZ30" s="22">
        <f t="shared" si="42"/>
        <v>12</v>
      </c>
      <c r="DA30" s="23" t="str">
        <f>IF(SUMPRODUCT($J$62:CZ$62,$J30:CZ30)&lt;0.5, "Pending", IF(CZ30&lt;0.5, "Complete", "In Progress"))</f>
        <v>Pending</v>
      </c>
      <c r="DB30" s="22">
        <v>0</v>
      </c>
      <c r="DC30" s="22">
        <f t="shared" si="43"/>
        <v>12</v>
      </c>
      <c r="DD30" s="23" t="str">
        <f>IF(SUMPRODUCT($J$62:DC$62,$J30:DC30)&lt;0.5, "Pending", IF(DC30&lt;0.5, "Complete", "In Progress"))</f>
        <v>Pending</v>
      </c>
      <c r="DE30" s="22">
        <v>0</v>
      </c>
      <c r="DF30" s="22">
        <f t="shared" si="44"/>
        <v>12</v>
      </c>
      <c r="DG30" s="23" t="str">
        <f>IF(SUMPRODUCT($J$62:DF$62,$J30:DF30)&lt;0.5, "Pending", IF(DF30&lt;0.5, "Complete", "In Progress"))</f>
        <v>Pending</v>
      </c>
      <c r="DH30" s="22">
        <v>0</v>
      </c>
      <c r="DI30" s="22">
        <f t="shared" si="45"/>
        <v>12</v>
      </c>
      <c r="DJ30" s="23" t="str">
        <f>IF(SUMPRODUCT($J$62:DI$62,$J30:DI30)&lt;0.5, "Pending", IF(DI30&lt;0.5, "Complete", "In Progress"))</f>
        <v>Pending</v>
      </c>
      <c r="DK30" s="22">
        <v>0</v>
      </c>
      <c r="DL30" s="22">
        <f t="shared" si="46"/>
        <v>12</v>
      </c>
      <c r="DM30" s="23" t="str">
        <f>IF(SUMPRODUCT($J$62:DL$62,$J30:DL30)&lt;0.5, "Pending", IF(DL30&lt;0.5, "Complete", "In Progress"))</f>
        <v>Pending</v>
      </c>
      <c r="DN30" s="22">
        <v>0</v>
      </c>
      <c r="DO30" s="22">
        <f t="shared" si="47"/>
        <v>12</v>
      </c>
      <c r="DP30" s="23" t="str">
        <f>IF(SUMPRODUCT($J$62:DO$62,$J30:DO30)&lt;0.5, "Pending", IF(DO30&lt;0.5, "Complete", "In Progress"))</f>
        <v>Pending</v>
      </c>
      <c r="DQ30" s="22">
        <v>0</v>
      </c>
      <c r="DR30" s="22">
        <f t="shared" si="48"/>
        <v>12</v>
      </c>
      <c r="DS30" s="23" t="str">
        <f>IF(SUMPRODUCT($J$62:DR$62,$J30:DR30)&lt;0.5, "Pending", IF(DR30&lt;0.5, "Complete", "In Progress"))</f>
        <v>Pending</v>
      </c>
      <c r="DT30" s="22">
        <v>0</v>
      </c>
      <c r="DU30" s="22">
        <f t="shared" si="49"/>
        <v>12</v>
      </c>
      <c r="DV30" s="23" t="str">
        <f>IF(SUMPRODUCT($J$62:DU$62,$J30:DU30)&lt;0.5, "Pending", IF(DU30&lt;0.5, "Complete", "In Progress"))</f>
        <v>Pending</v>
      </c>
      <c r="DW30" s="22">
        <v>0</v>
      </c>
      <c r="DX30" s="22">
        <f t="shared" si="50"/>
        <v>12</v>
      </c>
      <c r="DY30" s="23" t="str">
        <f>IF(SUMPRODUCT($J$62:DX$62,$J30:DX30)&lt;0.5, "Pending", IF(DX30&lt;0.5, "Complete", "In Progress"))</f>
        <v>Pending</v>
      </c>
      <c r="DZ30" s="24"/>
      <c r="EA30" s="25">
        <f>SUMPRODUCT($H$62:DG$62,$H30:DG30)</f>
        <v>0</v>
      </c>
    </row>
    <row r="31" spans="1:131" x14ac:dyDescent="0.25">
      <c r="A31" s="16" t="s">
        <v>124</v>
      </c>
      <c r="B31" s="16" t="s">
        <v>136</v>
      </c>
      <c r="C31" s="16" t="s">
        <v>121</v>
      </c>
      <c r="D31" s="17">
        <v>7</v>
      </c>
      <c r="E31" s="199" t="s">
        <v>147</v>
      </c>
      <c r="F31" s="18" t="s">
        <v>126</v>
      </c>
      <c r="G31" s="19" t="s">
        <v>166</v>
      </c>
      <c r="H31" s="20">
        <v>1</v>
      </c>
      <c r="I31" s="21">
        <v>4</v>
      </c>
      <c r="J31" s="22">
        <v>0</v>
      </c>
      <c r="K31" s="22">
        <f t="shared" ref="K31:K33" si="131">MAX(I31-J31, 0)</f>
        <v>4</v>
      </c>
      <c r="L31" s="23" t="str">
        <f>IF(SUMPRODUCT($J$62:K$62,$J31:K31)&lt;0.5, "Pending", IF(K31&lt;0.5, "Complete", "In Progress"))</f>
        <v>Pending</v>
      </c>
      <c r="M31" s="22">
        <v>0</v>
      </c>
      <c r="N31" s="22">
        <f t="shared" ref="N31:N33" si="132">MAX(K31-M31,0)</f>
        <v>4</v>
      </c>
      <c r="O31" s="23" t="str">
        <f>IF(SUMPRODUCT($J$62:N$62,$J31:N31)&lt;0.5, "Pending", IF(N31&lt;0.5, "Complete", "In Progress"))</f>
        <v>Pending</v>
      </c>
      <c r="P31" s="22">
        <v>0</v>
      </c>
      <c r="Q31" s="22">
        <f t="shared" ref="Q31:Q33" si="133">MAX(N31-P31,0)</f>
        <v>4</v>
      </c>
      <c r="R31" s="23" t="str">
        <f>IF(SUMPRODUCT($J$62:Q$62,$J31:Q31)&lt;0.5, "Pending", IF(Q31&lt;0.5, "Complete", "In Progress"))</f>
        <v>Pending</v>
      </c>
      <c r="S31" s="22">
        <v>0</v>
      </c>
      <c r="T31" s="22">
        <f t="shared" ref="T31:T33" si="134">MAX(Q31-S31,0)</f>
        <v>4</v>
      </c>
      <c r="U31" s="23" t="str">
        <f>IF(SUMPRODUCT($J$62:T$62,$J31:T31)&lt;0.5, "Pending", IF(T31&lt;0.5, "Complete", "In Progress"))</f>
        <v>Pending</v>
      </c>
      <c r="V31" s="22">
        <v>0</v>
      </c>
      <c r="W31" s="22">
        <f t="shared" ref="W31:W33" si="135">MAX(T31-V31,0)</f>
        <v>4</v>
      </c>
      <c r="X31" s="23" t="str">
        <f>IF(SUMPRODUCT($J$62:W$62,$J31:W31)&lt;0.5, "Pending", IF(W31&lt;0.5, "Complete", "In Progress"))</f>
        <v>Pending</v>
      </c>
      <c r="Y31" s="22">
        <v>0</v>
      </c>
      <c r="Z31" s="22">
        <f t="shared" ref="Z31:Z33" si="136">MAX(W31-Y31,0)</f>
        <v>4</v>
      </c>
      <c r="AA31" s="23" t="str">
        <f>IF(SUMPRODUCT($J$62:Z$62,$J31:Z31)&lt;0.5, "Pending", IF(Z31&lt;0.5, "Complete", "In Progress"))</f>
        <v>Pending</v>
      </c>
      <c r="AB31" s="22">
        <v>0</v>
      </c>
      <c r="AC31" s="22">
        <f t="shared" ref="AC31:AC33" si="137">MAX(Z31-AB31,0)</f>
        <v>4</v>
      </c>
      <c r="AD31" s="23" t="str">
        <f>IF(SUMPRODUCT($J$62:AC$62,$J31:AC31)&lt;0.5, "Pending", IF(AC31&lt;0.5, "Complete", "In Progress"))</f>
        <v>Pending</v>
      </c>
      <c r="AE31" s="22">
        <v>0</v>
      </c>
      <c r="AF31" s="22">
        <f t="shared" ref="AF31:AF33" si="138">MAX(AC31-AE31,0)</f>
        <v>4</v>
      </c>
      <c r="AG31" s="23" t="str">
        <f>IF(SUMPRODUCT($J$62:AF$62,$J31:AF31)&lt;0.5, "Pending", IF(AF31&lt;0.5, "Complete", "In Progress"))</f>
        <v>Pending</v>
      </c>
      <c r="AH31" s="22">
        <v>0</v>
      </c>
      <c r="AI31" s="22">
        <f t="shared" ref="AI31:AI33" si="139">MAX(AF31-AH31,0)</f>
        <v>4</v>
      </c>
      <c r="AJ31" s="23" t="str">
        <f>IF(SUMPRODUCT($J$62:AI$62,$J31:AI31)&lt;0.5, "Pending", IF(AI31&lt;0.5, "Complete", "In Progress"))</f>
        <v>Pending</v>
      </c>
      <c r="AK31" s="22">
        <v>0</v>
      </c>
      <c r="AL31" s="22">
        <f t="shared" ref="AL31:AL33" si="140">MAX(AI31-AK31,0)</f>
        <v>4</v>
      </c>
      <c r="AM31" s="23" t="str">
        <f>IF(SUMPRODUCT($J$62:AL$62,$J31:AL31)&lt;0.5, "Pending", IF(AL31&lt;0.5, "Complete", "In Progress"))</f>
        <v>Pending</v>
      </c>
      <c r="AN31" s="22">
        <v>0</v>
      </c>
      <c r="AO31" s="22">
        <f t="shared" ref="AO31:AO33" si="141">MAX(AL31-AN31,0)</f>
        <v>4</v>
      </c>
      <c r="AP31" s="23" t="str">
        <f>IF(SUMPRODUCT($J$62:AO$62,$J31:AO31)&lt;0.5, "Pending", IF(AO31&lt;0.5, "Complete", "In Progress"))</f>
        <v>Pending</v>
      </c>
      <c r="AQ31" s="22">
        <v>0</v>
      </c>
      <c r="AR31" s="22">
        <f t="shared" ref="AR31:AR33" si="142">MAX(AO31-AQ31,0)</f>
        <v>4</v>
      </c>
      <c r="AS31" s="23" t="str">
        <f>IF(SUMPRODUCT($J$62:AR$62,$J31:AR31)&lt;0.5, "Pending", IF(AR31&lt;0.5, "Complete", "In Progress"))</f>
        <v>Pending</v>
      </c>
      <c r="AT31" s="22">
        <v>0</v>
      </c>
      <c r="AU31" s="22">
        <f t="shared" ref="AU31:AU33" si="143">MAX(AR31-AT31,0)</f>
        <v>4</v>
      </c>
      <c r="AV31" s="23" t="str">
        <f>IF(SUMPRODUCT($J$62:AU$62,$J31:AU31)&lt;0.5, "Pending", IF(AU31&lt;0.5, "Complete", "In Progress"))</f>
        <v>Pending</v>
      </c>
      <c r="AW31" s="22">
        <v>0</v>
      </c>
      <c r="AX31" s="22">
        <f t="shared" ref="AX31:AX33" si="144">MAX(AU31-AW31,0)</f>
        <v>4</v>
      </c>
      <c r="AY31" s="23" t="str">
        <f>IF(SUMPRODUCT($J$62:AX$62,$J31:AX31)&lt;0.5, "Pending", IF(AX31&lt;0.5, "Complete", "In Progress"))</f>
        <v>Pending</v>
      </c>
      <c r="AZ31" s="22">
        <v>0</v>
      </c>
      <c r="BA31" s="22">
        <f t="shared" ref="BA31:BA33" si="145">MAX(AX31-AZ31,0)</f>
        <v>4</v>
      </c>
      <c r="BB31" s="23" t="str">
        <f>IF(SUMPRODUCT($J$62:BA$62,$J31:BA31)&lt;0.5, "Pending", IF(BA31&lt;0.5, "Complete", "In Progress"))</f>
        <v>Pending</v>
      </c>
      <c r="BC31" s="22">
        <v>0</v>
      </c>
      <c r="BD31" s="22">
        <f t="shared" ref="BD31:BD33" si="146">MAX(BA31-BC31,0)</f>
        <v>4</v>
      </c>
      <c r="BE31" s="23" t="str">
        <f>IF(SUMPRODUCT($J$62:BD$62,$J31:BD31)&lt;0.5, "Pending", IF(BD31&lt;0.5, "Complete", "In Progress"))</f>
        <v>Pending</v>
      </c>
      <c r="BF31" s="22">
        <v>0</v>
      </c>
      <c r="BG31" s="22">
        <f t="shared" ref="BG31:BG33" si="147">MAX(BD31-BF31,0)</f>
        <v>4</v>
      </c>
      <c r="BH31" s="23" t="str">
        <f>IF(SUMPRODUCT($J$62:BG$62,$J31:BG31)&lt;0.5, "Pending", IF(BG31&lt;0.5, "Complete", "In Progress"))</f>
        <v>Pending</v>
      </c>
      <c r="BI31" s="22">
        <v>0</v>
      </c>
      <c r="BJ31" s="22">
        <f t="shared" ref="BJ31:BJ33" si="148">MAX(BG31-BI31,0)</f>
        <v>4</v>
      </c>
      <c r="BK31" s="23" t="str">
        <f>IF(SUMPRODUCT($J$62:BJ$62,$J31:BJ31)&lt;0.5, "Pending", IF(BJ31&lt;0.5, "Complete", "In Progress"))</f>
        <v>Pending</v>
      </c>
      <c r="BL31" s="22">
        <v>0</v>
      </c>
      <c r="BM31" s="22">
        <f t="shared" ref="BM31:BM33" si="149">MAX(BJ31-BL31,0)</f>
        <v>4</v>
      </c>
      <c r="BN31" s="23" t="str">
        <f>IF(SUMPRODUCT($J$62:BM$62,$J31:BM31)&lt;0.5, "Pending", IF(BM31&lt;0.5, "Complete", "In Progress"))</f>
        <v>Pending</v>
      </c>
      <c r="BO31" s="22">
        <v>0</v>
      </c>
      <c r="BP31" s="22">
        <f t="shared" ref="BP31:BP33" si="150">MAX(BM31-BO31,0)</f>
        <v>4</v>
      </c>
      <c r="BQ31" s="23" t="str">
        <f>IF(SUMPRODUCT($J$62:BP$62,$J31:BP31)&lt;0.5, "Pending", IF(BP31&lt;0.5, "Complete", "In Progress"))</f>
        <v>Pending</v>
      </c>
      <c r="BR31" s="22">
        <v>0</v>
      </c>
      <c r="BS31" s="22">
        <f t="shared" ref="BS31:BS33" si="151">MAX(BP31-BR31,0)</f>
        <v>4</v>
      </c>
      <c r="BT31" s="23" t="str">
        <f>IF(SUMPRODUCT($J$62:BS$62,$J31:BS31)&lt;0.5, "Pending", IF(BS31&lt;0.5, "Complete", "In Progress"))</f>
        <v>Pending</v>
      </c>
      <c r="BU31" s="22">
        <v>0</v>
      </c>
      <c r="BV31" s="22">
        <f t="shared" ref="BV31:BV33" si="152">MAX(BS31-BU31,0)</f>
        <v>4</v>
      </c>
      <c r="BW31" s="23" t="str">
        <f>IF(SUMPRODUCT($J$62:BV$62,$J31:BV31)&lt;0.5, "Pending", IF(BV31&lt;0.5, "Complete", "In Progress"))</f>
        <v>Pending</v>
      </c>
      <c r="BX31" s="22">
        <v>0</v>
      </c>
      <c r="BY31" s="22">
        <f t="shared" ref="BY31:BY33" si="153">MAX(BV31-BX31,0)</f>
        <v>4</v>
      </c>
      <c r="BZ31" s="23" t="str">
        <f>IF(SUMPRODUCT($J$62:BY$62,$J31:BY31)&lt;0.5, "Pending", IF(BY31&lt;0.5, "Complete", "In Progress"))</f>
        <v>Pending</v>
      </c>
      <c r="CA31" s="22">
        <v>0</v>
      </c>
      <c r="CB31" s="22">
        <f t="shared" ref="CB31:CB33" si="154">MAX(BY31-CA31,0)</f>
        <v>4</v>
      </c>
      <c r="CC31" s="23" t="str">
        <f>IF(SUMPRODUCT($J$62:CB$62,$J31:CB31)&lt;0.5, "Pending", IF(CB31&lt;0.5, "Complete", "In Progress"))</f>
        <v>Pending</v>
      </c>
      <c r="CD31" s="22">
        <v>0</v>
      </c>
      <c r="CE31" s="22">
        <f t="shared" ref="CE31:CE33" si="155">MAX(CB31-CD31,0)</f>
        <v>4</v>
      </c>
      <c r="CF31" s="23" t="str">
        <f>IF(SUMPRODUCT($J$62:CE$62,$J31:CE31)&lt;0.5, "Pending", IF(CE31&lt;0.5, "Complete", "In Progress"))</f>
        <v>Pending</v>
      </c>
      <c r="CG31" s="22">
        <v>0</v>
      </c>
      <c r="CH31" s="22">
        <f t="shared" ref="CH31:CH33" si="156">MAX(CE31-CG31,0)</f>
        <v>4</v>
      </c>
      <c r="CI31" s="23" t="str">
        <f>IF(SUMPRODUCT($J$62:CH$62,$J31:CH31)&lt;0.5, "Pending", IF(CH31&lt;0.5, "Complete", "In Progress"))</f>
        <v>Pending</v>
      </c>
      <c r="CJ31" s="22">
        <v>0</v>
      </c>
      <c r="CK31" s="22">
        <f t="shared" ref="CK31:CK33" si="157">MAX(CH31-CJ31,0)</f>
        <v>4</v>
      </c>
      <c r="CL31" s="23" t="str">
        <f>IF(SUMPRODUCT($J$62:CK$62,$J31:CK31)&lt;0.5, "Pending", IF(CK31&lt;0.5, "Complete", "In Progress"))</f>
        <v>Pending</v>
      </c>
      <c r="CM31" s="22">
        <v>0</v>
      </c>
      <c r="CN31" s="22">
        <f t="shared" ref="CN31:CN33" si="158">MAX(CK31-CM31,0)</f>
        <v>4</v>
      </c>
      <c r="CO31" s="23" t="str">
        <f>IF(SUMPRODUCT($J$62:CN$62,$J31:CN31)&lt;0.5, "Pending", IF(CN31&lt;0.5, "Complete", "In Progress"))</f>
        <v>Pending</v>
      </c>
      <c r="CP31" s="22">
        <v>0</v>
      </c>
      <c r="CQ31" s="22">
        <f t="shared" ref="CQ31:CQ33" si="159">MAX(CN31-CP31,0)</f>
        <v>4</v>
      </c>
      <c r="CR31" s="23" t="str">
        <f>IF(SUMPRODUCT($J$62:CQ$62,$J31:CQ31)&lt;0.5, "Pending", IF(CQ31&lt;0.5, "Complete", "In Progress"))</f>
        <v>Pending</v>
      </c>
      <c r="CS31" s="22">
        <v>0</v>
      </c>
      <c r="CT31" s="22">
        <f t="shared" ref="CT31:CT33" si="160">MAX(CQ31-CS31,0)</f>
        <v>4</v>
      </c>
      <c r="CU31" s="23" t="str">
        <f>IF(SUMPRODUCT($J$62:CT$62,$J31:CT31)&lt;0.5, "Pending", IF(CT31&lt;0.5, "Complete", "In Progress"))</f>
        <v>Pending</v>
      </c>
      <c r="CV31" s="22">
        <v>0</v>
      </c>
      <c r="CW31" s="22">
        <f t="shared" ref="CW31:CW33" si="161">MAX(CT31-CV31,0)</f>
        <v>4</v>
      </c>
      <c r="CX31" s="23" t="str">
        <f>IF(SUMPRODUCT($J$62:CW$62,$J31:CW31)&lt;0.5, "Pending", IF(CW31&lt;0.5, "Complete", "In Progress"))</f>
        <v>Pending</v>
      </c>
      <c r="CY31" s="22">
        <v>0</v>
      </c>
      <c r="CZ31" s="22">
        <f t="shared" ref="CZ31:CZ33" si="162">MAX(CW31-CY31,0)</f>
        <v>4</v>
      </c>
      <c r="DA31" s="23" t="str">
        <f>IF(SUMPRODUCT($J$62:CZ$62,$J31:CZ31)&lt;0.5, "Pending", IF(CZ31&lt;0.5, "Complete", "In Progress"))</f>
        <v>Pending</v>
      </c>
      <c r="DB31" s="22">
        <v>0</v>
      </c>
      <c r="DC31" s="22">
        <f t="shared" ref="DC31:DC33" si="163">MAX(CZ31-DB31,0)</f>
        <v>4</v>
      </c>
      <c r="DD31" s="23" t="str">
        <f>IF(SUMPRODUCT($J$62:DC$62,$J31:DC31)&lt;0.5, "Pending", IF(DC31&lt;0.5, "Complete", "In Progress"))</f>
        <v>Pending</v>
      </c>
      <c r="DE31" s="22">
        <v>0</v>
      </c>
      <c r="DF31" s="22">
        <f t="shared" ref="DF31:DF33" si="164">MAX(DC31-DE31,0)</f>
        <v>4</v>
      </c>
      <c r="DG31" s="23" t="str">
        <f>IF(SUMPRODUCT($J$62:DF$62,$J31:DF31)&lt;0.5, "Pending", IF(DF31&lt;0.5, "Complete", "In Progress"))</f>
        <v>Pending</v>
      </c>
      <c r="DH31" s="22">
        <v>0</v>
      </c>
      <c r="DI31" s="22">
        <f t="shared" ref="DI31:DI33" si="165">MAX(DF31-DH31,0)</f>
        <v>4</v>
      </c>
      <c r="DJ31" s="23" t="str">
        <f>IF(SUMPRODUCT($J$62:DI$62,$J31:DI31)&lt;0.5, "Pending", IF(DI31&lt;0.5, "Complete", "In Progress"))</f>
        <v>Pending</v>
      </c>
      <c r="DK31" s="22">
        <v>0</v>
      </c>
      <c r="DL31" s="22">
        <f t="shared" ref="DL31:DL33" si="166">MAX(DI31-DK31,0)</f>
        <v>4</v>
      </c>
      <c r="DM31" s="23" t="str">
        <f>IF(SUMPRODUCT($J$62:DL$62,$J31:DL31)&lt;0.5, "Pending", IF(DL31&lt;0.5, "Complete", "In Progress"))</f>
        <v>Pending</v>
      </c>
      <c r="DN31" s="22">
        <v>0</v>
      </c>
      <c r="DO31" s="22">
        <f t="shared" ref="DO31:DO33" si="167">MAX(DL31-DN31,0)</f>
        <v>4</v>
      </c>
      <c r="DP31" s="23" t="str">
        <f>IF(SUMPRODUCT($J$62:DO$62,$J31:DO31)&lt;0.5, "Pending", IF(DO31&lt;0.5, "Complete", "In Progress"))</f>
        <v>Pending</v>
      </c>
      <c r="DQ31" s="22">
        <v>0</v>
      </c>
      <c r="DR31" s="22">
        <f t="shared" ref="DR31:DR33" si="168">MAX(DO31-DQ31,0)</f>
        <v>4</v>
      </c>
      <c r="DS31" s="23" t="str">
        <f>IF(SUMPRODUCT($J$62:DR$62,$J31:DR31)&lt;0.5, "Pending", IF(DR31&lt;0.5, "Complete", "In Progress"))</f>
        <v>Pending</v>
      </c>
      <c r="DT31" s="22">
        <v>0</v>
      </c>
      <c r="DU31" s="22">
        <f t="shared" ref="DU31:DU33" si="169">MAX(DR31-DT31,0)</f>
        <v>4</v>
      </c>
      <c r="DV31" s="23" t="str">
        <f>IF(SUMPRODUCT($J$62:DU$62,$J31:DU31)&lt;0.5, "Pending", IF(DU31&lt;0.5, "Complete", "In Progress"))</f>
        <v>Pending</v>
      </c>
      <c r="DW31" s="22">
        <v>0</v>
      </c>
      <c r="DX31" s="22">
        <f t="shared" ref="DX31:DX33" si="170">MAX(DU31-DW31,0)</f>
        <v>4</v>
      </c>
      <c r="DY31" s="23" t="str">
        <f>IF(SUMPRODUCT($J$62:DX$62,$J31:DX31)&lt;0.5, "Pending", IF(DX31&lt;0.5, "Complete", "In Progress"))</f>
        <v>Pending</v>
      </c>
      <c r="DZ31" s="24"/>
      <c r="EA31" s="25">
        <f>SUMPRODUCT($H$62:DG$62,$H31:DG31)</f>
        <v>0</v>
      </c>
    </row>
    <row r="32" spans="1:131" x14ac:dyDescent="0.25">
      <c r="A32" s="16" t="s">
        <v>124</v>
      </c>
      <c r="B32" s="16" t="s">
        <v>136</v>
      </c>
      <c r="C32" s="16" t="s">
        <v>121</v>
      </c>
      <c r="D32" s="17">
        <v>7</v>
      </c>
      <c r="E32" s="199" t="s">
        <v>147</v>
      </c>
      <c r="F32" s="18" t="s">
        <v>134</v>
      </c>
      <c r="G32" s="19" t="s">
        <v>166</v>
      </c>
      <c r="H32" s="20">
        <v>1</v>
      </c>
      <c r="I32" s="21">
        <v>4</v>
      </c>
      <c r="J32" s="22">
        <v>0</v>
      </c>
      <c r="K32" s="22">
        <f t="shared" ref="K32" si="171">MAX(I32-J32, 0)</f>
        <v>4</v>
      </c>
      <c r="L32" s="23" t="str">
        <f>IF(SUMPRODUCT($J$62:K$62,$J32:K32)&lt;0.5, "Pending", IF(K32&lt;0.5, "Complete", "In Progress"))</f>
        <v>Pending</v>
      </c>
      <c r="M32" s="22">
        <v>0</v>
      </c>
      <c r="N32" s="22">
        <f t="shared" ref="N32" si="172">MAX(K32-M32,0)</f>
        <v>4</v>
      </c>
      <c r="O32" s="23" t="str">
        <f>IF(SUMPRODUCT($J$62:N$62,$J32:N32)&lt;0.5, "Pending", IF(N32&lt;0.5, "Complete", "In Progress"))</f>
        <v>Pending</v>
      </c>
      <c r="P32" s="22">
        <v>0</v>
      </c>
      <c r="Q32" s="22">
        <f t="shared" ref="Q32" si="173">MAX(N32-P32,0)</f>
        <v>4</v>
      </c>
      <c r="R32" s="23" t="str">
        <f>IF(SUMPRODUCT($J$62:Q$62,$J32:Q32)&lt;0.5, "Pending", IF(Q32&lt;0.5, "Complete", "In Progress"))</f>
        <v>Pending</v>
      </c>
      <c r="S32" s="22">
        <v>0</v>
      </c>
      <c r="T32" s="22">
        <f t="shared" ref="T32" si="174">MAX(Q32-S32,0)</f>
        <v>4</v>
      </c>
      <c r="U32" s="23" t="str">
        <f>IF(SUMPRODUCT($J$62:T$62,$J32:T32)&lt;0.5, "Pending", IF(T32&lt;0.5, "Complete", "In Progress"))</f>
        <v>Pending</v>
      </c>
      <c r="V32" s="22">
        <v>0</v>
      </c>
      <c r="W32" s="22">
        <f t="shared" ref="W32" si="175">MAX(T32-V32,0)</f>
        <v>4</v>
      </c>
      <c r="X32" s="23" t="str">
        <f>IF(SUMPRODUCT($J$62:W$62,$J32:W32)&lt;0.5, "Pending", IF(W32&lt;0.5, "Complete", "In Progress"))</f>
        <v>Pending</v>
      </c>
      <c r="Y32" s="22">
        <v>0</v>
      </c>
      <c r="Z32" s="22">
        <f t="shared" ref="Z32" si="176">MAX(W32-Y32,0)</f>
        <v>4</v>
      </c>
      <c r="AA32" s="23" t="str">
        <f>IF(SUMPRODUCT($J$62:Z$62,$J32:Z32)&lt;0.5, "Pending", IF(Z32&lt;0.5, "Complete", "In Progress"))</f>
        <v>Pending</v>
      </c>
      <c r="AB32" s="22">
        <v>0</v>
      </c>
      <c r="AC32" s="22">
        <f t="shared" ref="AC32" si="177">MAX(Z32-AB32,0)</f>
        <v>4</v>
      </c>
      <c r="AD32" s="23" t="str">
        <f>IF(SUMPRODUCT($J$62:AC$62,$J32:AC32)&lt;0.5, "Pending", IF(AC32&lt;0.5, "Complete", "In Progress"))</f>
        <v>Pending</v>
      </c>
      <c r="AE32" s="22">
        <v>0</v>
      </c>
      <c r="AF32" s="22">
        <f t="shared" ref="AF32" si="178">MAX(AC32-AE32,0)</f>
        <v>4</v>
      </c>
      <c r="AG32" s="23" t="str">
        <f>IF(SUMPRODUCT($J$62:AF$62,$J32:AF32)&lt;0.5, "Pending", IF(AF32&lt;0.5, "Complete", "In Progress"))</f>
        <v>Pending</v>
      </c>
      <c r="AH32" s="22">
        <v>0</v>
      </c>
      <c r="AI32" s="22">
        <f t="shared" ref="AI32" si="179">MAX(AF32-AH32,0)</f>
        <v>4</v>
      </c>
      <c r="AJ32" s="23" t="str">
        <f>IF(SUMPRODUCT($J$62:AI$62,$J32:AI32)&lt;0.5, "Pending", IF(AI32&lt;0.5, "Complete", "In Progress"))</f>
        <v>Pending</v>
      </c>
      <c r="AK32" s="22">
        <v>0</v>
      </c>
      <c r="AL32" s="22">
        <f t="shared" ref="AL32" si="180">MAX(AI32-AK32,0)</f>
        <v>4</v>
      </c>
      <c r="AM32" s="23" t="str">
        <f>IF(SUMPRODUCT($J$62:AL$62,$J32:AL32)&lt;0.5, "Pending", IF(AL32&lt;0.5, "Complete", "In Progress"))</f>
        <v>Pending</v>
      </c>
      <c r="AN32" s="22">
        <v>0</v>
      </c>
      <c r="AO32" s="22">
        <f t="shared" ref="AO32" si="181">MAX(AL32-AN32,0)</f>
        <v>4</v>
      </c>
      <c r="AP32" s="23" t="str">
        <f>IF(SUMPRODUCT($J$62:AO$62,$J32:AO32)&lt;0.5, "Pending", IF(AO32&lt;0.5, "Complete", "In Progress"))</f>
        <v>Pending</v>
      </c>
      <c r="AQ32" s="22">
        <v>0</v>
      </c>
      <c r="AR32" s="22">
        <f t="shared" ref="AR32" si="182">MAX(AO32-AQ32,0)</f>
        <v>4</v>
      </c>
      <c r="AS32" s="23" t="str">
        <f>IF(SUMPRODUCT($J$62:AR$62,$J32:AR32)&lt;0.5, "Pending", IF(AR32&lt;0.5, "Complete", "In Progress"))</f>
        <v>Pending</v>
      </c>
      <c r="AT32" s="22">
        <v>0</v>
      </c>
      <c r="AU32" s="22">
        <f t="shared" ref="AU32" si="183">MAX(AR32-AT32,0)</f>
        <v>4</v>
      </c>
      <c r="AV32" s="23" t="str">
        <f>IF(SUMPRODUCT($J$62:AU$62,$J32:AU32)&lt;0.5, "Pending", IF(AU32&lt;0.5, "Complete", "In Progress"))</f>
        <v>Pending</v>
      </c>
      <c r="AW32" s="22">
        <v>0</v>
      </c>
      <c r="AX32" s="22">
        <f t="shared" ref="AX32" si="184">MAX(AU32-AW32,0)</f>
        <v>4</v>
      </c>
      <c r="AY32" s="23" t="str">
        <f>IF(SUMPRODUCT($J$62:AX$62,$J32:AX32)&lt;0.5, "Pending", IF(AX32&lt;0.5, "Complete", "In Progress"))</f>
        <v>Pending</v>
      </c>
      <c r="AZ32" s="22">
        <v>0</v>
      </c>
      <c r="BA32" s="22">
        <f t="shared" ref="BA32" si="185">MAX(AX32-AZ32,0)</f>
        <v>4</v>
      </c>
      <c r="BB32" s="23" t="str">
        <f>IF(SUMPRODUCT($J$62:BA$62,$J32:BA32)&lt;0.5, "Pending", IF(BA32&lt;0.5, "Complete", "In Progress"))</f>
        <v>Pending</v>
      </c>
      <c r="BC32" s="22">
        <v>0</v>
      </c>
      <c r="BD32" s="22">
        <f t="shared" ref="BD32" si="186">MAX(BA32-BC32,0)</f>
        <v>4</v>
      </c>
      <c r="BE32" s="23" t="str">
        <f>IF(SUMPRODUCT($J$62:BD$62,$J32:BD32)&lt;0.5, "Pending", IF(BD32&lt;0.5, "Complete", "In Progress"))</f>
        <v>Pending</v>
      </c>
      <c r="BF32" s="22">
        <v>0</v>
      </c>
      <c r="BG32" s="22">
        <f t="shared" ref="BG32" si="187">MAX(BD32-BF32,0)</f>
        <v>4</v>
      </c>
      <c r="BH32" s="23" t="str">
        <f>IF(SUMPRODUCT($J$62:BG$62,$J32:BG32)&lt;0.5, "Pending", IF(BG32&lt;0.5, "Complete", "In Progress"))</f>
        <v>Pending</v>
      </c>
      <c r="BI32" s="22">
        <v>0</v>
      </c>
      <c r="BJ32" s="22">
        <f t="shared" ref="BJ32" si="188">MAX(BG32-BI32,0)</f>
        <v>4</v>
      </c>
      <c r="BK32" s="23" t="str">
        <f>IF(SUMPRODUCT($J$62:BJ$62,$J32:BJ32)&lt;0.5, "Pending", IF(BJ32&lt;0.5, "Complete", "In Progress"))</f>
        <v>Pending</v>
      </c>
      <c r="BL32" s="22">
        <v>0</v>
      </c>
      <c r="BM32" s="22">
        <f t="shared" ref="BM32" si="189">MAX(BJ32-BL32,0)</f>
        <v>4</v>
      </c>
      <c r="BN32" s="23" t="str">
        <f>IF(SUMPRODUCT($J$62:BM$62,$J32:BM32)&lt;0.5, "Pending", IF(BM32&lt;0.5, "Complete", "In Progress"))</f>
        <v>Pending</v>
      </c>
      <c r="BO32" s="22">
        <v>0</v>
      </c>
      <c r="BP32" s="22">
        <f t="shared" ref="BP32" si="190">MAX(BM32-BO32,0)</f>
        <v>4</v>
      </c>
      <c r="BQ32" s="23" t="str">
        <f>IF(SUMPRODUCT($J$62:BP$62,$J32:BP32)&lt;0.5, "Pending", IF(BP32&lt;0.5, "Complete", "In Progress"))</f>
        <v>Pending</v>
      </c>
      <c r="BR32" s="22">
        <v>0</v>
      </c>
      <c r="BS32" s="22">
        <f t="shared" ref="BS32" si="191">MAX(BP32-BR32,0)</f>
        <v>4</v>
      </c>
      <c r="BT32" s="23" t="str">
        <f>IF(SUMPRODUCT($J$62:BS$62,$J32:BS32)&lt;0.5, "Pending", IF(BS32&lt;0.5, "Complete", "In Progress"))</f>
        <v>Pending</v>
      </c>
      <c r="BU32" s="22">
        <v>0</v>
      </c>
      <c r="BV32" s="22">
        <f t="shared" ref="BV32" si="192">MAX(BS32-BU32,0)</f>
        <v>4</v>
      </c>
      <c r="BW32" s="23" t="str">
        <f>IF(SUMPRODUCT($J$62:BV$62,$J32:BV32)&lt;0.5, "Pending", IF(BV32&lt;0.5, "Complete", "In Progress"))</f>
        <v>Pending</v>
      </c>
      <c r="BX32" s="22">
        <v>0</v>
      </c>
      <c r="BY32" s="22">
        <f t="shared" ref="BY32" si="193">MAX(BV32-BX32,0)</f>
        <v>4</v>
      </c>
      <c r="BZ32" s="23" t="str">
        <f>IF(SUMPRODUCT($J$62:BY$62,$J32:BY32)&lt;0.5, "Pending", IF(BY32&lt;0.5, "Complete", "In Progress"))</f>
        <v>Pending</v>
      </c>
      <c r="CA32" s="22">
        <v>0</v>
      </c>
      <c r="CB32" s="22">
        <f t="shared" ref="CB32" si="194">MAX(BY32-CA32,0)</f>
        <v>4</v>
      </c>
      <c r="CC32" s="23" t="str">
        <f>IF(SUMPRODUCT($J$62:CB$62,$J32:CB32)&lt;0.5, "Pending", IF(CB32&lt;0.5, "Complete", "In Progress"))</f>
        <v>Pending</v>
      </c>
      <c r="CD32" s="22">
        <v>0</v>
      </c>
      <c r="CE32" s="22">
        <f t="shared" ref="CE32" si="195">MAX(CB32-CD32,0)</f>
        <v>4</v>
      </c>
      <c r="CF32" s="23" t="str">
        <f>IF(SUMPRODUCT($J$62:CE$62,$J32:CE32)&lt;0.5, "Pending", IF(CE32&lt;0.5, "Complete", "In Progress"))</f>
        <v>Pending</v>
      </c>
      <c r="CG32" s="22">
        <v>0</v>
      </c>
      <c r="CH32" s="22">
        <f t="shared" ref="CH32" si="196">MAX(CE32-CG32,0)</f>
        <v>4</v>
      </c>
      <c r="CI32" s="23" t="str">
        <f>IF(SUMPRODUCT($J$62:CH$62,$J32:CH32)&lt;0.5, "Pending", IF(CH32&lt;0.5, "Complete", "In Progress"))</f>
        <v>Pending</v>
      </c>
      <c r="CJ32" s="22">
        <v>0</v>
      </c>
      <c r="CK32" s="22">
        <f t="shared" ref="CK32" si="197">MAX(CH32-CJ32,0)</f>
        <v>4</v>
      </c>
      <c r="CL32" s="23" t="str">
        <f>IF(SUMPRODUCT($J$62:CK$62,$J32:CK32)&lt;0.5, "Pending", IF(CK32&lt;0.5, "Complete", "In Progress"))</f>
        <v>Pending</v>
      </c>
      <c r="CM32" s="22">
        <v>0</v>
      </c>
      <c r="CN32" s="22">
        <f t="shared" ref="CN32" si="198">MAX(CK32-CM32,0)</f>
        <v>4</v>
      </c>
      <c r="CO32" s="23" t="str">
        <f>IF(SUMPRODUCT($J$62:CN$62,$J32:CN32)&lt;0.5, "Pending", IF(CN32&lt;0.5, "Complete", "In Progress"))</f>
        <v>Pending</v>
      </c>
      <c r="CP32" s="22">
        <v>0</v>
      </c>
      <c r="CQ32" s="22">
        <f t="shared" ref="CQ32" si="199">MAX(CN32-CP32,0)</f>
        <v>4</v>
      </c>
      <c r="CR32" s="23" t="str">
        <f>IF(SUMPRODUCT($J$62:CQ$62,$J32:CQ32)&lt;0.5, "Pending", IF(CQ32&lt;0.5, "Complete", "In Progress"))</f>
        <v>Pending</v>
      </c>
      <c r="CS32" s="22">
        <v>0</v>
      </c>
      <c r="CT32" s="22">
        <f t="shared" ref="CT32" si="200">MAX(CQ32-CS32,0)</f>
        <v>4</v>
      </c>
      <c r="CU32" s="23" t="str">
        <f>IF(SUMPRODUCT($J$62:CT$62,$J32:CT32)&lt;0.5, "Pending", IF(CT32&lt;0.5, "Complete", "In Progress"))</f>
        <v>Pending</v>
      </c>
      <c r="CV32" s="22">
        <v>0</v>
      </c>
      <c r="CW32" s="22">
        <f t="shared" ref="CW32" si="201">MAX(CT32-CV32,0)</f>
        <v>4</v>
      </c>
      <c r="CX32" s="23" t="str">
        <f>IF(SUMPRODUCT($J$62:CW$62,$J32:CW32)&lt;0.5, "Pending", IF(CW32&lt;0.5, "Complete", "In Progress"))</f>
        <v>Pending</v>
      </c>
      <c r="CY32" s="22">
        <v>0</v>
      </c>
      <c r="CZ32" s="22">
        <f t="shared" ref="CZ32" si="202">MAX(CW32-CY32,0)</f>
        <v>4</v>
      </c>
      <c r="DA32" s="23" t="str">
        <f>IF(SUMPRODUCT($J$62:CZ$62,$J32:CZ32)&lt;0.5, "Pending", IF(CZ32&lt;0.5, "Complete", "In Progress"))</f>
        <v>Pending</v>
      </c>
      <c r="DB32" s="22">
        <v>0</v>
      </c>
      <c r="DC32" s="22">
        <f t="shared" ref="DC32" si="203">MAX(CZ32-DB32,0)</f>
        <v>4</v>
      </c>
      <c r="DD32" s="23" t="str">
        <f>IF(SUMPRODUCT($J$62:DC$62,$J32:DC32)&lt;0.5, "Pending", IF(DC32&lt;0.5, "Complete", "In Progress"))</f>
        <v>Pending</v>
      </c>
      <c r="DE32" s="22">
        <v>0</v>
      </c>
      <c r="DF32" s="22">
        <f t="shared" ref="DF32" si="204">MAX(DC32-DE32,0)</f>
        <v>4</v>
      </c>
      <c r="DG32" s="23" t="str">
        <f>IF(SUMPRODUCT($J$62:DF$62,$J32:DF32)&lt;0.5, "Pending", IF(DF32&lt;0.5, "Complete", "In Progress"))</f>
        <v>Pending</v>
      </c>
      <c r="DH32" s="22">
        <v>0</v>
      </c>
      <c r="DI32" s="22">
        <f t="shared" ref="DI32" si="205">MAX(DF32-DH32,0)</f>
        <v>4</v>
      </c>
      <c r="DJ32" s="23" t="str">
        <f>IF(SUMPRODUCT($J$62:DI$62,$J32:DI32)&lt;0.5, "Pending", IF(DI32&lt;0.5, "Complete", "In Progress"))</f>
        <v>Pending</v>
      </c>
      <c r="DK32" s="22">
        <v>0</v>
      </c>
      <c r="DL32" s="22">
        <f t="shared" ref="DL32" si="206">MAX(DI32-DK32,0)</f>
        <v>4</v>
      </c>
      <c r="DM32" s="23" t="str">
        <f>IF(SUMPRODUCT($J$62:DL$62,$J32:DL32)&lt;0.5, "Pending", IF(DL32&lt;0.5, "Complete", "In Progress"))</f>
        <v>Pending</v>
      </c>
      <c r="DN32" s="22">
        <v>0</v>
      </c>
      <c r="DO32" s="22">
        <f t="shared" ref="DO32" si="207">MAX(DL32-DN32,0)</f>
        <v>4</v>
      </c>
      <c r="DP32" s="23" t="str">
        <f>IF(SUMPRODUCT($J$62:DO$62,$J32:DO32)&lt;0.5, "Pending", IF(DO32&lt;0.5, "Complete", "In Progress"))</f>
        <v>Pending</v>
      </c>
      <c r="DQ32" s="22">
        <v>0</v>
      </c>
      <c r="DR32" s="22">
        <f t="shared" ref="DR32" si="208">MAX(DO32-DQ32,0)</f>
        <v>4</v>
      </c>
      <c r="DS32" s="23" t="str">
        <f>IF(SUMPRODUCT($J$62:DR$62,$J32:DR32)&lt;0.5, "Pending", IF(DR32&lt;0.5, "Complete", "In Progress"))</f>
        <v>Pending</v>
      </c>
      <c r="DT32" s="22">
        <v>0</v>
      </c>
      <c r="DU32" s="22">
        <f t="shared" ref="DU32" si="209">MAX(DR32-DT32,0)</f>
        <v>4</v>
      </c>
      <c r="DV32" s="23" t="str">
        <f>IF(SUMPRODUCT($J$62:DU$62,$J32:DU32)&lt;0.5, "Pending", IF(DU32&lt;0.5, "Complete", "In Progress"))</f>
        <v>Pending</v>
      </c>
      <c r="DW32" s="22">
        <v>0</v>
      </c>
      <c r="DX32" s="22">
        <f t="shared" ref="DX32" si="210">MAX(DU32-DW32,0)</f>
        <v>4</v>
      </c>
      <c r="DY32" s="23" t="str">
        <f>IF(SUMPRODUCT($J$62:DX$62,$J32:DX32)&lt;0.5, "Pending", IF(DX32&lt;0.5, "Complete", "In Progress"))</f>
        <v>Pending</v>
      </c>
      <c r="DZ32" s="24"/>
      <c r="EA32" s="25">
        <f>SUMPRODUCT($H$62:DG$62,$H32:DG32)</f>
        <v>0</v>
      </c>
    </row>
    <row r="33" spans="1:131" x14ac:dyDescent="0.25">
      <c r="A33" s="16" t="s">
        <v>119</v>
      </c>
      <c r="B33" s="16" t="s">
        <v>136</v>
      </c>
      <c r="C33" s="16" t="s">
        <v>121</v>
      </c>
      <c r="D33" s="17">
        <v>8</v>
      </c>
      <c r="E33" s="199" t="s">
        <v>148</v>
      </c>
      <c r="F33" s="18" t="s">
        <v>123</v>
      </c>
      <c r="G33" s="19" t="s">
        <v>166</v>
      </c>
      <c r="H33" s="20">
        <v>1</v>
      </c>
      <c r="I33" s="21">
        <v>8</v>
      </c>
      <c r="J33" s="22">
        <v>4</v>
      </c>
      <c r="K33" s="22">
        <f t="shared" si="131"/>
        <v>4</v>
      </c>
      <c r="L33" s="23" t="str">
        <f>IF(SUMPRODUCT($J$62:K$62,$J33:K33)&lt;0.5, "Pending", IF(K33&lt;0.5, "Complete", "In Progress"))</f>
        <v>In Progress</v>
      </c>
      <c r="M33" s="22">
        <v>0</v>
      </c>
      <c r="N33" s="22">
        <f t="shared" si="132"/>
        <v>4</v>
      </c>
      <c r="O33" s="23" t="str">
        <f>IF(SUMPRODUCT($J$62:N$62,$J33:N33)&lt;0.5, "Pending", IF(N33&lt;0.5, "Complete", "In Progress"))</f>
        <v>In Progress</v>
      </c>
      <c r="P33" s="22">
        <v>0</v>
      </c>
      <c r="Q33" s="22">
        <f t="shared" si="133"/>
        <v>4</v>
      </c>
      <c r="R33" s="23" t="str">
        <f>IF(SUMPRODUCT($J$62:Q$62,$J33:Q33)&lt;0.5, "Pending", IF(Q33&lt;0.5, "Complete", "In Progress"))</f>
        <v>In Progress</v>
      </c>
      <c r="S33" s="22">
        <v>0</v>
      </c>
      <c r="T33" s="22">
        <f t="shared" si="134"/>
        <v>4</v>
      </c>
      <c r="U33" s="23" t="str">
        <f>IF(SUMPRODUCT($J$62:T$62,$J33:T33)&lt;0.5, "Pending", IF(T33&lt;0.5, "Complete", "In Progress"))</f>
        <v>In Progress</v>
      </c>
      <c r="V33" s="22">
        <v>0</v>
      </c>
      <c r="W33" s="22">
        <f t="shared" si="135"/>
        <v>4</v>
      </c>
      <c r="X33" s="23" t="str">
        <f>IF(SUMPRODUCT($J$62:W$62,$J33:W33)&lt;0.5, "Pending", IF(W33&lt;0.5, "Complete", "In Progress"))</f>
        <v>In Progress</v>
      </c>
      <c r="Y33" s="22">
        <v>0</v>
      </c>
      <c r="Z33" s="22">
        <f t="shared" si="136"/>
        <v>4</v>
      </c>
      <c r="AA33" s="23" t="str">
        <f>IF(SUMPRODUCT($J$62:Z$62,$J33:Z33)&lt;0.5, "Pending", IF(Z33&lt;0.5, "Complete", "In Progress"))</f>
        <v>In Progress</v>
      </c>
      <c r="AB33" s="22">
        <v>0</v>
      </c>
      <c r="AC33" s="22">
        <f t="shared" si="137"/>
        <v>4</v>
      </c>
      <c r="AD33" s="23" t="str">
        <f>IF(SUMPRODUCT($J$62:AC$62,$J33:AC33)&lt;0.5, "Pending", IF(AC33&lt;0.5, "Complete", "In Progress"))</f>
        <v>In Progress</v>
      </c>
      <c r="AE33" s="22">
        <v>0</v>
      </c>
      <c r="AF33" s="22">
        <f t="shared" si="138"/>
        <v>4</v>
      </c>
      <c r="AG33" s="23" t="str">
        <f>IF(SUMPRODUCT($J$62:AF$62,$J33:AF33)&lt;0.5, "Pending", IF(AF33&lt;0.5, "Complete", "In Progress"))</f>
        <v>In Progress</v>
      </c>
      <c r="AH33" s="22">
        <v>0</v>
      </c>
      <c r="AI33" s="22">
        <f t="shared" si="139"/>
        <v>4</v>
      </c>
      <c r="AJ33" s="23" t="str">
        <f>IF(SUMPRODUCT($J$62:AI$62,$J33:AI33)&lt;0.5, "Pending", IF(AI33&lt;0.5, "Complete", "In Progress"))</f>
        <v>In Progress</v>
      </c>
      <c r="AK33" s="22">
        <v>0</v>
      </c>
      <c r="AL33" s="22">
        <f t="shared" si="140"/>
        <v>4</v>
      </c>
      <c r="AM33" s="23" t="str">
        <f>IF(SUMPRODUCT($J$62:AL$62,$J33:AL33)&lt;0.5, "Pending", IF(AL33&lt;0.5, "Complete", "In Progress"))</f>
        <v>In Progress</v>
      </c>
      <c r="AN33" s="22">
        <v>0</v>
      </c>
      <c r="AO33" s="22">
        <f t="shared" si="141"/>
        <v>4</v>
      </c>
      <c r="AP33" s="23" t="str">
        <f>IF(SUMPRODUCT($J$62:AO$62,$J33:AO33)&lt;0.5, "Pending", IF(AO33&lt;0.5, "Complete", "In Progress"))</f>
        <v>In Progress</v>
      </c>
      <c r="AQ33" s="22">
        <v>0</v>
      </c>
      <c r="AR33" s="22">
        <f t="shared" si="142"/>
        <v>4</v>
      </c>
      <c r="AS33" s="23" t="str">
        <f>IF(SUMPRODUCT($J$62:AR$62,$J33:AR33)&lt;0.5, "Pending", IF(AR33&lt;0.5, "Complete", "In Progress"))</f>
        <v>In Progress</v>
      </c>
      <c r="AT33" s="22">
        <v>0</v>
      </c>
      <c r="AU33" s="22">
        <f t="shared" si="143"/>
        <v>4</v>
      </c>
      <c r="AV33" s="23" t="str">
        <f>IF(SUMPRODUCT($J$62:AU$62,$J33:AU33)&lt;0.5, "Pending", IF(AU33&lt;0.5, "Complete", "In Progress"))</f>
        <v>In Progress</v>
      </c>
      <c r="AW33" s="22">
        <v>0</v>
      </c>
      <c r="AX33" s="22">
        <f t="shared" si="144"/>
        <v>4</v>
      </c>
      <c r="AY33" s="23" t="str">
        <f>IF(SUMPRODUCT($J$62:AX$62,$J33:AX33)&lt;0.5, "Pending", IF(AX33&lt;0.5, "Complete", "In Progress"))</f>
        <v>In Progress</v>
      </c>
      <c r="AZ33" s="22">
        <v>0</v>
      </c>
      <c r="BA33" s="22">
        <f t="shared" si="145"/>
        <v>4</v>
      </c>
      <c r="BB33" s="23" t="str">
        <f>IF(SUMPRODUCT($J$62:BA$62,$J33:BA33)&lt;0.5, "Pending", IF(BA33&lt;0.5, "Complete", "In Progress"))</f>
        <v>In Progress</v>
      </c>
      <c r="BC33" s="22">
        <v>0</v>
      </c>
      <c r="BD33" s="22">
        <f t="shared" si="146"/>
        <v>4</v>
      </c>
      <c r="BE33" s="23" t="str">
        <f>IF(SUMPRODUCT($J$62:BD$62,$J33:BD33)&lt;0.5, "Pending", IF(BD33&lt;0.5, "Complete", "In Progress"))</f>
        <v>In Progress</v>
      </c>
      <c r="BF33" s="22">
        <v>0</v>
      </c>
      <c r="BG33" s="22">
        <f t="shared" si="147"/>
        <v>4</v>
      </c>
      <c r="BH33" s="23" t="str">
        <f>IF(SUMPRODUCT($J$62:BG$62,$J33:BG33)&lt;0.5, "Pending", IF(BG33&lt;0.5, "Complete", "In Progress"))</f>
        <v>In Progress</v>
      </c>
      <c r="BI33" s="22">
        <v>0</v>
      </c>
      <c r="BJ33" s="22">
        <f t="shared" si="148"/>
        <v>4</v>
      </c>
      <c r="BK33" s="23" t="str">
        <f>IF(SUMPRODUCT($J$62:BJ$62,$J33:BJ33)&lt;0.5, "Pending", IF(BJ33&lt;0.5, "Complete", "In Progress"))</f>
        <v>In Progress</v>
      </c>
      <c r="BL33" s="22">
        <v>0</v>
      </c>
      <c r="BM33" s="22">
        <f t="shared" si="149"/>
        <v>4</v>
      </c>
      <c r="BN33" s="23" t="str">
        <f>IF(SUMPRODUCT($J$62:BM$62,$J33:BM33)&lt;0.5, "Pending", IF(BM33&lt;0.5, "Complete", "In Progress"))</f>
        <v>In Progress</v>
      </c>
      <c r="BO33" s="22">
        <v>0</v>
      </c>
      <c r="BP33" s="22">
        <f t="shared" si="150"/>
        <v>4</v>
      </c>
      <c r="BQ33" s="23" t="str">
        <f>IF(SUMPRODUCT($J$62:BP$62,$J33:BP33)&lt;0.5, "Pending", IF(BP33&lt;0.5, "Complete", "In Progress"))</f>
        <v>In Progress</v>
      </c>
      <c r="BR33" s="22">
        <v>0</v>
      </c>
      <c r="BS33" s="22">
        <f t="shared" si="151"/>
        <v>4</v>
      </c>
      <c r="BT33" s="23" t="str">
        <f>IF(SUMPRODUCT($J$62:BS$62,$J33:BS33)&lt;0.5, "Pending", IF(BS33&lt;0.5, "Complete", "In Progress"))</f>
        <v>In Progress</v>
      </c>
      <c r="BU33" s="22">
        <v>0</v>
      </c>
      <c r="BV33" s="22">
        <f t="shared" si="152"/>
        <v>4</v>
      </c>
      <c r="BW33" s="23" t="str">
        <f>IF(SUMPRODUCT($J$62:BV$62,$J33:BV33)&lt;0.5, "Pending", IF(BV33&lt;0.5, "Complete", "In Progress"))</f>
        <v>In Progress</v>
      </c>
      <c r="BX33" s="22">
        <v>0</v>
      </c>
      <c r="BY33" s="22">
        <f t="shared" si="153"/>
        <v>4</v>
      </c>
      <c r="BZ33" s="23" t="str">
        <f>IF(SUMPRODUCT($J$62:BY$62,$J33:BY33)&lt;0.5, "Pending", IF(BY33&lt;0.5, "Complete", "In Progress"))</f>
        <v>In Progress</v>
      </c>
      <c r="CA33" s="22">
        <v>0</v>
      </c>
      <c r="CB33" s="22">
        <f t="shared" si="154"/>
        <v>4</v>
      </c>
      <c r="CC33" s="23" t="str">
        <f>IF(SUMPRODUCT($J$62:CB$62,$J33:CB33)&lt;0.5, "Pending", IF(CB33&lt;0.5, "Complete", "In Progress"))</f>
        <v>In Progress</v>
      </c>
      <c r="CD33" s="22">
        <v>0</v>
      </c>
      <c r="CE33" s="22">
        <f t="shared" si="155"/>
        <v>4</v>
      </c>
      <c r="CF33" s="23" t="str">
        <f>IF(SUMPRODUCT($J$62:CE$62,$J33:CE33)&lt;0.5, "Pending", IF(CE33&lt;0.5, "Complete", "In Progress"))</f>
        <v>In Progress</v>
      </c>
      <c r="CG33" s="22">
        <v>0</v>
      </c>
      <c r="CH33" s="22">
        <f t="shared" si="156"/>
        <v>4</v>
      </c>
      <c r="CI33" s="23" t="str">
        <f>IF(SUMPRODUCT($J$62:CH$62,$J33:CH33)&lt;0.5, "Pending", IF(CH33&lt;0.5, "Complete", "In Progress"))</f>
        <v>In Progress</v>
      </c>
      <c r="CJ33" s="22">
        <v>0</v>
      </c>
      <c r="CK33" s="22">
        <f t="shared" si="157"/>
        <v>4</v>
      </c>
      <c r="CL33" s="23" t="str">
        <f>IF(SUMPRODUCT($J$62:CK$62,$J33:CK33)&lt;0.5, "Pending", IF(CK33&lt;0.5, "Complete", "In Progress"))</f>
        <v>In Progress</v>
      </c>
      <c r="CM33" s="22">
        <v>0</v>
      </c>
      <c r="CN33" s="22">
        <f t="shared" si="158"/>
        <v>4</v>
      </c>
      <c r="CO33" s="23" t="str">
        <f>IF(SUMPRODUCT($J$62:CN$62,$J33:CN33)&lt;0.5, "Pending", IF(CN33&lt;0.5, "Complete", "In Progress"))</f>
        <v>In Progress</v>
      </c>
      <c r="CP33" s="22">
        <v>0</v>
      </c>
      <c r="CQ33" s="22">
        <f t="shared" si="159"/>
        <v>4</v>
      </c>
      <c r="CR33" s="23" t="str">
        <f>IF(SUMPRODUCT($J$62:CQ$62,$J33:CQ33)&lt;0.5, "Pending", IF(CQ33&lt;0.5, "Complete", "In Progress"))</f>
        <v>In Progress</v>
      </c>
      <c r="CS33" s="22">
        <v>0</v>
      </c>
      <c r="CT33" s="22">
        <f t="shared" si="160"/>
        <v>4</v>
      </c>
      <c r="CU33" s="23" t="str">
        <f>IF(SUMPRODUCT($J$62:CT$62,$J33:CT33)&lt;0.5, "Pending", IF(CT33&lt;0.5, "Complete", "In Progress"))</f>
        <v>In Progress</v>
      </c>
      <c r="CV33" s="22">
        <v>0</v>
      </c>
      <c r="CW33" s="22">
        <f t="shared" si="161"/>
        <v>4</v>
      </c>
      <c r="CX33" s="23" t="str">
        <f>IF(SUMPRODUCT($J$62:CW$62,$J33:CW33)&lt;0.5, "Pending", IF(CW33&lt;0.5, "Complete", "In Progress"))</f>
        <v>In Progress</v>
      </c>
      <c r="CY33" s="22">
        <v>0</v>
      </c>
      <c r="CZ33" s="22">
        <f t="shared" si="162"/>
        <v>4</v>
      </c>
      <c r="DA33" s="23" t="str">
        <f>IF(SUMPRODUCT($J$62:CZ$62,$J33:CZ33)&lt;0.5, "Pending", IF(CZ33&lt;0.5, "Complete", "In Progress"))</f>
        <v>In Progress</v>
      </c>
      <c r="DB33" s="22">
        <v>0</v>
      </c>
      <c r="DC33" s="22">
        <f t="shared" si="163"/>
        <v>4</v>
      </c>
      <c r="DD33" s="23" t="str">
        <f>IF(SUMPRODUCT($J$62:DC$62,$J33:DC33)&lt;0.5, "Pending", IF(DC33&lt;0.5, "Complete", "In Progress"))</f>
        <v>In Progress</v>
      </c>
      <c r="DE33" s="22">
        <v>0</v>
      </c>
      <c r="DF33" s="22">
        <f t="shared" si="164"/>
        <v>4</v>
      </c>
      <c r="DG33" s="23" t="str">
        <f>IF(SUMPRODUCT($J$62:DF$62,$J33:DF33)&lt;0.5, "Pending", IF(DF33&lt;0.5, "Complete", "In Progress"))</f>
        <v>In Progress</v>
      </c>
      <c r="DH33" s="22">
        <v>0</v>
      </c>
      <c r="DI33" s="22">
        <f t="shared" si="165"/>
        <v>4</v>
      </c>
      <c r="DJ33" s="23" t="str">
        <f>IF(SUMPRODUCT($J$62:DI$62,$J33:DI33)&lt;0.5, "Pending", IF(DI33&lt;0.5, "Complete", "In Progress"))</f>
        <v>In Progress</v>
      </c>
      <c r="DK33" s="22">
        <v>0</v>
      </c>
      <c r="DL33" s="22">
        <f t="shared" si="166"/>
        <v>4</v>
      </c>
      <c r="DM33" s="23" t="str">
        <f>IF(SUMPRODUCT($J$62:DL$62,$J33:DL33)&lt;0.5, "Pending", IF(DL33&lt;0.5, "Complete", "In Progress"))</f>
        <v>In Progress</v>
      </c>
      <c r="DN33" s="22">
        <v>0</v>
      </c>
      <c r="DO33" s="22">
        <f t="shared" si="167"/>
        <v>4</v>
      </c>
      <c r="DP33" s="23" t="str">
        <f>IF(SUMPRODUCT($J$62:DO$62,$J33:DO33)&lt;0.5, "Pending", IF(DO33&lt;0.5, "Complete", "In Progress"))</f>
        <v>In Progress</v>
      </c>
      <c r="DQ33" s="22">
        <v>0</v>
      </c>
      <c r="DR33" s="22">
        <f t="shared" si="168"/>
        <v>4</v>
      </c>
      <c r="DS33" s="23" t="str">
        <f>IF(SUMPRODUCT($J$62:DR$62,$J33:DR33)&lt;0.5, "Pending", IF(DR33&lt;0.5, "Complete", "In Progress"))</f>
        <v>In Progress</v>
      </c>
      <c r="DT33" s="22">
        <v>0</v>
      </c>
      <c r="DU33" s="22">
        <f t="shared" si="169"/>
        <v>4</v>
      </c>
      <c r="DV33" s="23" t="str">
        <f>IF(SUMPRODUCT($J$62:DU$62,$J33:DU33)&lt;0.5, "Pending", IF(DU33&lt;0.5, "Complete", "In Progress"))</f>
        <v>In Progress</v>
      </c>
      <c r="DW33" s="22">
        <v>0</v>
      </c>
      <c r="DX33" s="22">
        <f t="shared" si="170"/>
        <v>4</v>
      </c>
      <c r="DY33" s="23" t="str">
        <f>IF(SUMPRODUCT($J$62:DX$62,$J33:DX33)&lt;0.5, "Pending", IF(DX33&lt;0.5, "Complete", "In Progress"))</f>
        <v>In Progress</v>
      </c>
      <c r="DZ33" s="24"/>
      <c r="EA33" s="25">
        <f>SUMPRODUCT($H$62:DG$62,$H33:DG33)</f>
        <v>4</v>
      </c>
    </row>
    <row r="34" spans="1:131" x14ac:dyDescent="0.25">
      <c r="A34" s="16" t="s">
        <v>138</v>
      </c>
      <c r="B34" s="16" t="s">
        <v>136</v>
      </c>
      <c r="C34" s="16" t="s">
        <v>121</v>
      </c>
      <c r="D34" s="17">
        <v>8</v>
      </c>
      <c r="E34" s="199" t="s">
        <v>149</v>
      </c>
      <c r="F34" s="18" t="s">
        <v>123</v>
      </c>
      <c r="G34" s="19" t="s">
        <v>166</v>
      </c>
      <c r="H34" s="20">
        <v>1</v>
      </c>
      <c r="I34" s="21">
        <v>4</v>
      </c>
      <c r="J34" s="22">
        <v>0</v>
      </c>
      <c r="K34" s="22">
        <f t="shared" si="11"/>
        <v>4</v>
      </c>
      <c r="L34" s="23" t="str">
        <f>IF(SUMPRODUCT($J$62:K$62,$J34:K34)&lt;0.5, "Pending", IF(K34&lt;0.5, "Complete", "In Progress"))</f>
        <v>Pending</v>
      </c>
      <c r="M34" s="22">
        <v>0</v>
      </c>
      <c r="N34" s="22">
        <f t="shared" si="12"/>
        <v>4</v>
      </c>
      <c r="O34" s="23" t="str">
        <f>IF(SUMPRODUCT($J$62:N$62,$J34:N34)&lt;0.5, "Pending", IF(N34&lt;0.5, "Complete", "In Progress"))</f>
        <v>Pending</v>
      </c>
      <c r="P34" s="22">
        <v>0</v>
      </c>
      <c r="Q34" s="22">
        <f t="shared" si="13"/>
        <v>4</v>
      </c>
      <c r="R34" s="23" t="str">
        <f>IF(SUMPRODUCT($J$62:Q$62,$J34:Q34)&lt;0.5, "Pending", IF(Q34&lt;0.5, "Complete", "In Progress"))</f>
        <v>Pending</v>
      </c>
      <c r="S34" s="22">
        <v>0</v>
      </c>
      <c r="T34" s="22">
        <f t="shared" si="14"/>
        <v>4</v>
      </c>
      <c r="U34" s="23" t="str">
        <f>IF(SUMPRODUCT($J$62:T$62,$J34:T34)&lt;0.5, "Pending", IF(T34&lt;0.5, "Complete", "In Progress"))</f>
        <v>Pending</v>
      </c>
      <c r="V34" s="22">
        <v>0</v>
      </c>
      <c r="W34" s="22">
        <f t="shared" si="15"/>
        <v>4</v>
      </c>
      <c r="X34" s="23" t="str">
        <f>IF(SUMPRODUCT($J$62:W$62,$J34:W34)&lt;0.5, "Pending", IF(W34&lt;0.5, "Complete", "In Progress"))</f>
        <v>Pending</v>
      </c>
      <c r="Y34" s="22">
        <v>0</v>
      </c>
      <c r="Z34" s="22">
        <f t="shared" si="16"/>
        <v>4</v>
      </c>
      <c r="AA34" s="23" t="str">
        <f>IF(SUMPRODUCT($J$62:Z$62,$J34:Z34)&lt;0.5, "Pending", IF(Z34&lt;0.5, "Complete", "In Progress"))</f>
        <v>Pending</v>
      </c>
      <c r="AB34" s="22">
        <v>0</v>
      </c>
      <c r="AC34" s="22">
        <f t="shared" si="17"/>
        <v>4</v>
      </c>
      <c r="AD34" s="23" t="str">
        <f>IF(SUMPRODUCT($J$62:AC$62,$J34:AC34)&lt;0.5, "Pending", IF(AC34&lt;0.5, "Complete", "In Progress"))</f>
        <v>Pending</v>
      </c>
      <c r="AE34" s="22">
        <v>0</v>
      </c>
      <c r="AF34" s="22">
        <f t="shared" si="18"/>
        <v>4</v>
      </c>
      <c r="AG34" s="23" t="str">
        <f>IF(SUMPRODUCT($J$62:AF$62,$J34:AF34)&lt;0.5, "Pending", IF(AF34&lt;0.5, "Complete", "In Progress"))</f>
        <v>Pending</v>
      </c>
      <c r="AH34" s="22">
        <v>0</v>
      </c>
      <c r="AI34" s="22">
        <f t="shared" si="19"/>
        <v>4</v>
      </c>
      <c r="AJ34" s="23" t="str">
        <f>IF(SUMPRODUCT($J$62:AI$62,$J34:AI34)&lt;0.5, "Pending", IF(AI34&lt;0.5, "Complete", "In Progress"))</f>
        <v>Pending</v>
      </c>
      <c r="AK34" s="22">
        <v>0</v>
      </c>
      <c r="AL34" s="22">
        <f t="shared" si="20"/>
        <v>4</v>
      </c>
      <c r="AM34" s="23" t="str">
        <f>IF(SUMPRODUCT($J$62:AL$62,$J34:AL34)&lt;0.5, "Pending", IF(AL34&lt;0.5, "Complete", "In Progress"))</f>
        <v>Pending</v>
      </c>
      <c r="AN34" s="22">
        <v>0</v>
      </c>
      <c r="AO34" s="22">
        <f t="shared" si="21"/>
        <v>4</v>
      </c>
      <c r="AP34" s="23" t="str">
        <f>IF(SUMPRODUCT($J$62:AO$62,$J34:AO34)&lt;0.5, "Pending", IF(AO34&lt;0.5, "Complete", "In Progress"))</f>
        <v>Pending</v>
      </c>
      <c r="AQ34" s="22">
        <v>0</v>
      </c>
      <c r="AR34" s="22">
        <f t="shared" si="22"/>
        <v>4</v>
      </c>
      <c r="AS34" s="23" t="str">
        <f>IF(SUMPRODUCT($J$62:AR$62,$J34:AR34)&lt;0.5, "Pending", IF(AR34&lt;0.5, "Complete", "In Progress"))</f>
        <v>Pending</v>
      </c>
      <c r="AT34" s="22">
        <v>0</v>
      </c>
      <c r="AU34" s="22">
        <f t="shared" si="23"/>
        <v>4</v>
      </c>
      <c r="AV34" s="23" t="str">
        <f>IF(SUMPRODUCT($J$62:AU$62,$J34:AU34)&lt;0.5, "Pending", IF(AU34&lt;0.5, "Complete", "In Progress"))</f>
        <v>Pending</v>
      </c>
      <c r="AW34" s="22">
        <v>0</v>
      </c>
      <c r="AX34" s="22">
        <f t="shared" si="24"/>
        <v>4</v>
      </c>
      <c r="AY34" s="23" t="str">
        <f>IF(SUMPRODUCT($J$62:AX$62,$J34:AX34)&lt;0.5, "Pending", IF(AX34&lt;0.5, "Complete", "In Progress"))</f>
        <v>Pending</v>
      </c>
      <c r="AZ34" s="22">
        <v>0</v>
      </c>
      <c r="BA34" s="22">
        <f t="shared" si="25"/>
        <v>4</v>
      </c>
      <c r="BB34" s="23" t="str">
        <f>IF(SUMPRODUCT($J$62:BA$62,$J34:BA34)&lt;0.5, "Pending", IF(BA34&lt;0.5, "Complete", "In Progress"))</f>
        <v>Pending</v>
      </c>
      <c r="BC34" s="22">
        <v>0</v>
      </c>
      <c r="BD34" s="22">
        <f t="shared" si="26"/>
        <v>4</v>
      </c>
      <c r="BE34" s="23" t="str">
        <f>IF(SUMPRODUCT($J$62:BD$62,$J34:BD34)&lt;0.5, "Pending", IF(BD34&lt;0.5, "Complete", "In Progress"))</f>
        <v>Pending</v>
      </c>
      <c r="BF34" s="22">
        <v>0</v>
      </c>
      <c r="BG34" s="22">
        <f t="shared" si="27"/>
        <v>4</v>
      </c>
      <c r="BH34" s="23" t="str">
        <f>IF(SUMPRODUCT($J$62:BG$62,$J34:BG34)&lt;0.5, "Pending", IF(BG34&lt;0.5, "Complete", "In Progress"))</f>
        <v>Pending</v>
      </c>
      <c r="BI34" s="22">
        <v>0</v>
      </c>
      <c r="BJ34" s="22">
        <f t="shared" si="28"/>
        <v>4</v>
      </c>
      <c r="BK34" s="23" t="str">
        <f>IF(SUMPRODUCT($J$62:BJ$62,$J34:BJ34)&lt;0.5, "Pending", IF(BJ34&lt;0.5, "Complete", "In Progress"))</f>
        <v>Pending</v>
      </c>
      <c r="BL34" s="22">
        <v>0</v>
      </c>
      <c r="BM34" s="22">
        <f t="shared" si="29"/>
        <v>4</v>
      </c>
      <c r="BN34" s="23" t="str">
        <f>IF(SUMPRODUCT($J$62:BM$62,$J34:BM34)&lt;0.5, "Pending", IF(BM34&lt;0.5, "Complete", "In Progress"))</f>
        <v>Pending</v>
      </c>
      <c r="BO34" s="22">
        <v>0</v>
      </c>
      <c r="BP34" s="22">
        <f t="shared" si="30"/>
        <v>4</v>
      </c>
      <c r="BQ34" s="23" t="str">
        <f>IF(SUMPRODUCT($J$62:BP$62,$J34:BP34)&lt;0.5, "Pending", IF(BP34&lt;0.5, "Complete", "In Progress"))</f>
        <v>Pending</v>
      </c>
      <c r="BR34" s="22">
        <v>0</v>
      </c>
      <c r="BS34" s="22">
        <f t="shared" si="31"/>
        <v>4</v>
      </c>
      <c r="BT34" s="23" t="str">
        <f>IF(SUMPRODUCT($J$62:BS$62,$J34:BS34)&lt;0.5, "Pending", IF(BS34&lt;0.5, "Complete", "In Progress"))</f>
        <v>Pending</v>
      </c>
      <c r="BU34" s="22">
        <v>0</v>
      </c>
      <c r="BV34" s="22">
        <f t="shared" si="32"/>
        <v>4</v>
      </c>
      <c r="BW34" s="23" t="str">
        <f>IF(SUMPRODUCT($J$62:BV$62,$J34:BV34)&lt;0.5, "Pending", IF(BV34&lt;0.5, "Complete", "In Progress"))</f>
        <v>Pending</v>
      </c>
      <c r="BX34" s="22">
        <v>0</v>
      </c>
      <c r="BY34" s="22">
        <f t="shared" si="33"/>
        <v>4</v>
      </c>
      <c r="BZ34" s="23" t="str">
        <f>IF(SUMPRODUCT($J$62:BY$62,$J34:BY34)&lt;0.5, "Pending", IF(BY34&lt;0.5, "Complete", "In Progress"))</f>
        <v>Pending</v>
      </c>
      <c r="CA34" s="22">
        <v>0</v>
      </c>
      <c r="CB34" s="22">
        <f t="shared" si="34"/>
        <v>4</v>
      </c>
      <c r="CC34" s="23" t="str">
        <f>IF(SUMPRODUCT($J$62:CB$62,$J34:CB34)&lt;0.5, "Pending", IF(CB34&lt;0.5, "Complete", "In Progress"))</f>
        <v>Pending</v>
      </c>
      <c r="CD34" s="22">
        <v>0</v>
      </c>
      <c r="CE34" s="22">
        <f t="shared" si="35"/>
        <v>4</v>
      </c>
      <c r="CF34" s="23" t="str">
        <f>IF(SUMPRODUCT($J$62:CE$62,$J34:CE34)&lt;0.5, "Pending", IF(CE34&lt;0.5, "Complete", "In Progress"))</f>
        <v>Pending</v>
      </c>
      <c r="CG34" s="22">
        <v>0</v>
      </c>
      <c r="CH34" s="22">
        <f t="shared" si="36"/>
        <v>4</v>
      </c>
      <c r="CI34" s="23" t="str">
        <f>IF(SUMPRODUCT($J$62:CH$62,$J34:CH34)&lt;0.5, "Pending", IF(CH34&lt;0.5, "Complete", "In Progress"))</f>
        <v>Pending</v>
      </c>
      <c r="CJ34" s="22">
        <v>0</v>
      </c>
      <c r="CK34" s="22">
        <f t="shared" si="37"/>
        <v>4</v>
      </c>
      <c r="CL34" s="23" t="str">
        <f>IF(SUMPRODUCT($J$62:CK$62,$J34:CK34)&lt;0.5, "Pending", IF(CK34&lt;0.5, "Complete", "In Progress"))</f>
        <v>Pending</v>
      </c>
      <c r="CM34" s="22">
        <v>0</v>
      </c>
      <c r="CN34" s="22">
        <f t="shared" si="38"/>
        <v>4</v>
      </c>
      <c r="CO34" s="23" t="str">
        <f>IF(SUMPRODUCT($J$62:CN$62,$J34:CN34)&lt;0.5, "Pending", IF(CN34&lt;0.5, "Complete", "In Progress"))</f>
        <v>Pending</v>
      </c>
      <c r="CP34" s="22">
        <v>0</v>
      </c>
      <c r="CQ34" s="22">
        <f t="shared" si="39"/>
        <v>4</v>
      </c>
      <c r="CR34" s="23" t="str">
        <f>IF(SUMPRODUCT($J$62:CQ$62,$J34:CQ34)&lt;0.5, "Pending", IF(CQ34&lt;0.5, "Complete", "In Progress"))</f>
        <v>Pending</v>
      </c>
      <c r="CS34" s="22">
        <v>0</v>
      </c>
      <c r="CT34" s="22">
        <f t="shared" si="40"/>
        <v>4</v>
      </c>
      <c r="CU34" s="23" t="str">
        <f>IF(SUMPRODUCT($J$62:CT$62,$J34:CT34)&lt;0.5, "Pending", IF(CT34&lt;0.5, "Complete", "In Progress"))</f>
        <v>Pending</v>
      </c>
      <c r="CV34" s="22">
        <v>0</v>
      </c>
      <c r="CW34" s="22">
        <f t="shared" si="41"/>
        <v>4</v>
      </c>
      <c r="CX34" s="23" t="str">
        <f>IF(SUMPRODUCT($J$62:CW$62,$J34:CW34)&lt;0.5, "Pending", IF(CW34&lt;0.5, "Complete", "In Progress"))</f>
        <v>Pending</v>
      </c>
      <c r="CY34" s="22">
        <v>0</v>
      </c>
      <c r="CZ34" s="22">
        <f t="shared" si="42"/>
        <v>4</v>
      </c>
      <c r="DA34" s="23" t="str">
        <f>IF(SUMPRODUCT($J$62:CZ$62,$J34:CZ34)&lt;0.5, "Pending", IF(CZ34&lt;0.5, "Complete", "In Progress"))</f>
        <v>Pending</v>
      </c>
      <c r="DB34" s="22">
        <v>0</v>
      </c>
      <c r="DC34" s="22">
        <f t="shared" si="43"/>
        <v>4</v>
      </c>
      <c r="DD34" s="23" t="str">
        <f>IF(SUMPRODUCT($J$62:DC$62,$J34:DC34)&lt;0.5, "Pending", IF(DC34&lt;0.5, "Complete", "In Progress"))</f>
        <v>Pending</v>
      </c>
      <c r="DE34" s="22">
        <v>0</v>
      </c>
      <c r="DF34" s="22">
        <f t="shared" si="44"/>
        <v>4</v>
      </c>
      <c r="DG34" s="23" t="str">
        <f>IF(SUMPRODUCT($J$62:DF$62,$J34:DF34)&lt;0.5, "Pending", IF(DF34&lt;0.5, "Complete", "In Progress"))</f>
        <v>Pending</v>
      </c>
      <c r="DH34" s="22">
        <v>0</v>
      </c>
      <c r="DI34" s="22">
        <f t="shared" si="45"/>
        <v>4</v>
      </c>
      <c r="DJ34" s="23" t="str">
        <f>IF(SUMPRODUCT($J$62:DI$62,$J34:DI34)&lt;0.5, "Pending", IF(DI34&lt;0.5, "Complete", "In Progress"))</f>
        <v>Pending</v>
      </c>
      <c r="DK34" s="22">
        <v>0</v>
      </c>
      <c r="DL34" s="22">
        <f t="shared" si="46"/>
        <v>4</v>
      </c>
      <c r="DM34" s="23" t="str">
        <f>IF(SUMPRODUCT($J$62:DL$62,$J34:DL34)&lt;0.5, "Pending", IF(DL34&lt;0.5, "Complete", "In Progress"))</f>
        <v>Pending</v>
      </c>
      <c r="DN34" s="22">
        <v>0</v>
      </c>
      <c r="DO34" s="22">
        <f t="shared" si="47"/>
        <v>4</v>
      </c>
      <c r="DP34" s="23" t="str">
        <f>IF(SUMPRODUCT($J$62:DO$62,$J34:DO34)&lt;0.5, "Pending", IF(DO34&lt;0.5, "Complete", "In Progress"))</f>
        <v>Pending</v>
      </c>
      <c r="DQ34" s="22">
        <v>0</v>
      </c>
      <c r="DR34" s="22">
        <f t="shared" si="48"/>
        <v>4</v>
      </c>
      <c r="DS34" s="23" t="str">
        <f>IF(SUMPRODUCT($J$62:DR$62,$J34:DR34)&lt;0.5, "Pending", IF(DR34&lt;0.5, "Complete", "In Progress"))</f>
        <v>Pending</v>
      </c>
      <c r="DT34" s="22">
        <v>0</v>
      </c>
      <c r="DU34" s="22">
        <f t="shared" si="49"/>
        <v>4</v>
      </c>
      <c r="DV34" s="23" t="str">
        <f>IF(SUMPRODUCT($J$62:DU$62,$J34:DU34)&lt;0.5, "Pending", IF(DU34&lt;0.5, "Complete", "In Progress"))</f>
        <v>Pending</v>
      </c>
      <c r="DW34" s="22">
        <v>0</v>
      </c>
      <c r="DX34" s="22">
        <f t="shared" si="50"/>
        <v>4</v>
      </c>
      <c r="DY34" s="23" t="str">
        <f>IF(SUMPRODUCT($J$62:DX$62,$J34:DX34)&lt;0.5, "Pending", IF(DX34&lt;0.5, "Complete", "In Progress"))</f>
        <v>Pending</v>
      </c>
      <c r="DZ34" s="24"/>
      <c r="EA34" s="25">
        <f>SUMPRODUCT($H$62:DG$62,$H34:DG34)</f>
        <v>0</v>
      </c>
    </row>
    <row r="35" spans="1:131" x14ac:dyDescent="0.25">
      <c r="A35" s="16" t="s">
        <v>124</v>
      </c>
      <c r="B35" s="16" t="s">
        <v>136</v>
      </c>
      <c r="C35" s="16" t="s">
        <v>121</v>
      </c>
      <c r="D35" s="17">
        <v>8</v>
      </c>
      <c r="E35" s="199" t="s">
        <v>150</v>
      </c>
      <c r="F35" s="18" t="s">
        <v>126</v>
      </c>
      <c r="G35" s="19" t="s">
        <v>166</v>
      </c>
      <c r="H35" s="20">
        <v>1</v>
      </c>
      <c r="I35" s="21">
        <v>2</v>
      </c>
      <c r="J35" s="22">
        <v>0</v>
      </c>
      <c r="K35" s="22">
        <f t="shared" si="11"/>
        <v>2</v>
      </c>
      <c r="L35" s="23" t="str">
        <f>IF(SUMPRODUCT($J$62:K$62,$J35:K35)&lt;0.5, "Pending", IF(K35&lt;0.5, "Complete", "In Progress"))</f>
        <v>Pending</v>
      </c>
      <c r="M35" s="22">
        <v>0</v>
      </c>
      <c r="N35" s="22">
        <f t="shared" si="12"/>
        <v>2</v>
      </c>
      <c r="O35" s="23" t="str">
        <f>IF(SUMPRODUCT($J$62:N$62,$J35:N35)&lt;0.5, "Pending", IF(N35&lt;0.5, "Complete", "In Progress"))</f>
        <v>Pending</v>
      </c>
      <c r="P35" s="22">
        <v>0</v>
      </c>
      <c r="Q35" s="22">
        <f t="shared" si="13"/>
        <v>2</v>
      </c>
      <c r="R35" s="23" t="str">
        <f>IF(SUMPRODUCT($J$62:Q$62,$J35:Q35)&lt;0.5, "Pending", IF(Q35&lt;0.5, "Complete", "In Progress"))</f>
        <v>Pending</v>
      </c>
      <c r="S35" s="22">
        <v>0</v>
      </c>
      <c r="T35" s="22">
        <f t="shared" si="14"/>
        <v>2</v>
      </c>
      <c r="U35" s="23" t="str">
        <f>IF(SUMPRODUCT($J$62:T$62,$J35:T35)&lt;0.5, "Pending", IF(T35&lt;0.5, "Complete", "In Progress"))</f>
        <v>Pending</v>
      </c>
      <c r="V35" s="22">
        <v>0</v>
      </c>
      <c r="W35" s="22">
        <f t="shared" si="15"/>
        <v>2</v>
      </c>
      <c r="X35" s="23" t="str">
        <f>IF(SUMPRODUCT($J$62:W$62,$J35:W35)&lt;0.5, "Pending", IF(W35&lt;0.5, "Complete", "In Progress"))</f>
        <v>Pending</v>
      </c>
      <c r="Y35" s="22">
        <v>0</v>
      </c>
      <c r="Z35" s="22">
        <f t="shared" si="16"/>
        <v>2</v>
      </c>
      <c r="AA35" s="23" t="str">
        <f>IF(SUMPRODUCT($J$62:Z$62,$J35:Z35)&lt;0.5, "Pending", IF(Z35&lt;0.5, "Complete", "In Progress"))</f>
        <v>Pending</v>
      </c>
      <c r="AB35" s="22">
        <v>0</v>
      </c>
      <c r="AC35" s="22">
        <f t="shared" si="17"/>
        <v>2</v>
      </c>
      <c r="AD35" s="23" t="str">
        <f>IF(SUMPRODUCT($J$62:AC$62,$J35:AC35)&lt;0.5, "Pending", IF(AC35&lt;0.5, "Complete", "In Progress"))</f>
        <v>Pending</v>
      </c>
      <c r="AE35" s="22">
        <v>0</v>
      </c>
      <c r="AF35" s="22">
        <f t="shared" si="18"/>
        <v>2</v>
      </c>
      <c r="AG35" s="23" t="str">
        <f>IF(SUMPRODUCT($J$62:AF$62,$J35:AF35)&lt;0.5, "Pending", IF(AF35&lt;0.5, "Complete", "In Progress"))</f>
        <v>Pending</v>
      </c>
      <c r="AH35" s="22">
        <v>0</v>
      </c>
      <c r="AI35" s="22">
        <f t="shared" si="19"/>
        <v>2</v>
      </c>
      <c r="AJ35" s="23" t="str">
        <f>IF(SUMPRODUCT($J$62:AI$62,$J35:AI35)&lt;0.5, "Pending", IF(AI35&lt;0.5, "Complete", "In Progress"))</f>
        <v>Pending</v>
      </c>
      <c r="AK35" s="22">
        <v>0</v>
      </c>
      <c r="AL35" s="22">
        <f t="shared" si="20"/>
        <v>2</v>
      </c>
      <c r="AM35" s="23" t="str">
        <f>IF(SUMPRODUCT($J$62:AL$62,$J35:AL35)&lt;0.5, "Pending", IF(AL35&lt;0.5, "Complete", "In Progress"))</f>
        <v>Pending</v>
      </c>
      <c r="AN35" s="22">
        <v>0</v>
      </c>
      <c r="AO35" s="22">
        <f t="shared" si="21"/>
        <v>2</v>
      </c>
      <c r="AP35" s="23" t="str">
        <f>IF(SUMPRODUCT($J$62:AO$62,$J35:AO35)&lt;0.5, "Pending", IF(AO35&lt;0.5, "Complete", "In Progress"))</f>
        <v>Pending</v>
      </c>
      <c r="AQ35" s="22">
        <v>0</v>
      </c>
      <c r="AR35" s="22">
        <f t="shared" si="22"/>
        <v>2</v>
      </c>
      <c r="AS35" s="23" t="str">
        <f>IF(SUMPRODUCT($J$62:AR$62,$J35:AR35)&lt;0.5, "Pending", IF(AR35&lt;0.5, "Complete", "In Progress"))</f>
        <v>Pending</v>
      </c>
      <c r="AT35" s="22">
        <v>0</v>
      </c>
      <c r="AU35" s="22">
        <f t="shared" si="23"/>
        <v>2</v>
      </c>
      <c r="AV35" s="23" t="str">
        <f>IF(SUMPRODUCT($J$62:AU$62,$J35:AU35)&lt;0.5, "Pending", IF(AU35&lt;0.5, "Complete", "In Progress"))</f>
        <v>Pending</v>
      </c>
      <c r="AW35" s="22">
        <v>0</v>
      </c>
      <c r="AX35" s="22">
        <f t="shared" si="24"/>
        <v>2</v>
      </c>
      <c r="AY35" s="23" t="str">
        <f>IF(SUMPRODUCT($J$62:AX$62,$J35:AX35)&lt;0.5, "Pending", IF(AX35&lt;0.5, "Complete", "In Progress"))</f>
        <v>Pending</v>
      </c>
      <c r="AZ35" s="22">
        <v>0</v>
      </c>
      <c r="BA35" s="22">
        <f t="shared" si="25"/>
        <v>2</v>
      </c>
      <c r="BB35" s="23" t="str">
        <f>IF(SUMPRODUCT($J$62:BA$62,$J35:BA35)&lt;0.5, "Pending", IF(BA35&lt;0.5, "Complete", "In Progress"))</f>
        <v>Pending</v>
      </c>
      <c r="BC35" s="22">
        <v>0</v>
      </c>
      <c r="BD35" s="22">
        <f t="shared" si="26"/>
        <v>2</v>
      </c>
      <c r="BE35" s="23" t="str">
        <f>IF(SUMPRODUCT($J$62:BD$62,$J35:BD35)&lt;0.5, "Pending", IF(BD35&lt;0.5, "Complete", "In Progress"))</f>
        <v>Pending</v>
      </c>
      <c r="BF35" s="22">
        <v>0</v>
      </c>
      <c r="BG35" s="22">
        <f t="shared" si="27"/>
        <v>2</v>
      </c>
      <c r="BH35" s="23" t="str">
        <f>IF(SUMPRODUCT($J$62:BG$62,$J35:BG35)&lt;0.5, "Pending", IF(BG35&lt;0.5, "Complete", "In Progress"))</f>
        <v>Pending</v>
      </c>
      <c r="BI35" s="22">
        <v>0</v>
      </c>
      <c r="BJ35" s="22">
        <f t="shared" si="28"/>
        <v>2</v>
      </c>
      <c r="BK35" s="23" t="str">
        <f>IF(SUMPRODUCT($J$62:BJ$62,$J35:BJ35)&lt;0.5, "Pending", IF(BJ35&lt;0.5, "Complete", "In Progress"))</f>
        <v>Pending</v>
      </c>
      <c r="BL35" s="22">
        <v>0</v>
      </c>
      <c r="BM35" s="22">
        <f t="shared" si="29"/>
        <v>2</v>
      </c>
      <c r="BN35" s="23" t="str">
        <f>IF(SUMPRODUCT($J$62:BM$62,$J35:BM35)&lt;0.5, "Pending", IF(BM35&lt;0.5, "Complete", "In Progress"))</f>
        <v>Pending</v>
      </c>
      <c r="BO35" s="22">
        <v>0</v>
      </c>
      <c r="BP35" s="22">
        <f t="shared" si="30"/>
        <v>2</v>
      </c>
      <c r="BQ35" s="23" t="str">
        <f>IF(SUMPRODUCT($J$62:BP$62,$J35:BP35)&lt;0.5, "Pending", IF(BP35&lt;0.5, "Complete", "In Progress"))</f>
        <v>Pending</v>
      </c>
      <c r="BR35" s="22">
        <v>0</v>
      </c>
      <c r="BS35" s="22">
        <f t="shared" si="31"/>
        <v>2</v>
      </c>
      <c r="BT35" s="23" t="str">
        <f>IF(SUMPRODUCT($J$62:BS$62,$J35:BS35)&lt;0.5, "Pending", IF(BS35&lt;0.5, "Complete", "In Progress"))</f>
        <v>Pending</v>
      </c>
      <c r="BU35" s="22">
        <v>0</v>
      </c>
      <c r="BV35" s="22">
        <f t="shared" si="32"/>
        <v>2</v>
      </c>
      <c r="BW35" s="23" t="str">
        <f>IF(SUMPRODUCT($J$62:BV$62,$J35:BV35)&lt;0.5, "Pending", IF(BV35&lt;0.5, "Complete", "In Progress"))</f>
        <v>Pending</v>
      </c>
      <c r="BX35" s="22">
        <v>0</v>
      </c>
      <c r="BY35" s="22">
        <f t="shared" si="33"/>
        <v>2</v>
      </c>
      <c r="BZ35" s="23" t="str">
        <f>IF(SUMPRODUCT($J$62:BY$62,$J35:BY35)&lt;0.5, "Pending", IF(BY35&lt;0.5, "Complete", "In Progress"))</f>
        <v>Pending</v>
      </c>
      <c r="CA35" s="22">
        <v>0</v>
      </c>
      <c r="CB35" s="22">
        <f t="shared" si="34"/>
        <v>2</v>
      </c>
      <c r="CC35" s="23" t="str">
        <f>IF(SUMPRODUCT($J$62:CB$62,$J35:CB35)&lt;0.5, "Pending", IF(CB35&lt;0.5, "Complete", "In Progress"))</f>
        <v>Pending</v>
      </c>
      <c r="CD35" s="22">
        <v>0</v>
      </c>
      <c r="CE35" s="22">
        <f t="shared" si="35"/>
        <v>2</v>
      </c>
      <c r="CF35" s="23" t="str">
        <f>IF(SUMPRODUCT($J$62:CE$62,$J35:CE35)&lt;0.5, "Pending", IF(CE35&lt;0.5, "Complete", "In Progress"))</f>
        <v>Pending</v>
      </c>
      <c r="CG35" s="22">
        <v>0</v>
      </c>
      <c r="CH35" s="22">
        <f t="shared" si="36"/>
        <v>2</v>
      </c>
      <c r="CI35" s="23" t="str">
        <f>IF(SUMPRODUCT($J$62:CH$62,$J35:CH35)&lt;0.5, "Pending", IF(CH35&lt;0.5, "Complete", "In Progress"))</f>
        <v>Pending</v>
      </c>
      <c r="CJ35" s="22">
        <v>0</v>
      </c>
      <c r="CK35" s="22">
        <f t="shared" si="37"/>
        <v>2</v>
      </c>
      <c r="CL35" s="23" t="str">
        <f>IF(SUMPRODUCT($J$62:CK$62,$J35:CK35)&lt;0.5, "Pending", IF(CK35&lt;0.5, "Complete", "In Progress"))</f>
        <v>Pending</v>
      </c>
      <c r="CM35" s="22">
        <v>0</v>
      </c>
      <c r="CN35" s="22">
        <f t="shared" si="38"/>
        <v>2</v>
      </c>
      <c r="CO35" s="23" t="str">
        <f>IF(SUMPRODUCT($J$62:CN$62,$J35:CN35)&lt;0.5, "Pending", IF(CN35&lt;0.5, "Complete", "In Progress"))</f>
        <v>Pending</v>
      </c>
      <c r="CP35" s="22">
        <v>0</v>
      </c>
      <c r="CQ35" s="22">
        <f t="shared" si="39"/>
        <v>2</v>
      </c>
      <c r="CR35" s="23" t="str">
        <f>IF(SUMPRODUCT($J$62:CQ$62,$J35:CQ35)&lt;0.5, "Pending", IF(CQ35&lt;0.5, "Complete", "In Progress"))</f>
        <v>Pending</v>
      </c>
      <c r="CS35" s="22">
        <v>0</v>
      </c>
      <c r="CT35" s="22">
        <f t="shared" si="40"/>
        <v>2</v>
      </c>
      <c r="CU35" s="23" t="str">
        <f>IF(SUMPRODUCT($J$62:CT$62,$J35:CT35)&lt;0.5, "Pending", IF(CT35&lt;0.5, "Complete", "In Progress"))</f>
        <v>Pending</v>
      </c>
      <c r="CV35" s="22">
        <v>0</v>
      </c>
      <c r="CW35" s="22">
        <f t="shared" si="41"/>
        <v>2</v>
      </c>
      <c r="CX35" s="23" t="str">
        <f>IF(SUMPRODUCT($J$62:CW$62,$J35:CW35)&lt;0.5, "Pending", IF(CW35&lt;0.5, "Complete", "In Progress"))</f>
        <v>Pending</v>
      </c>
      <c r="CY35" s="22">
        <v>0</v>
      </c>
      <c r="CZ35" s="22">
        <f t="shared" si="42"/>
        <v>2</v>
      </c>
      <c r="DA35" s="23" t="str">
        <f>IF(SUMPRODUCT($J$62:CZ$62,$J35:CZ35)&lt;0.5, "Pending", IF(CZ35&lt;0.5, "Complete", "In Progress"))</f>
        <v>Pending</v>
      </c>
      <c r="DB35" s="22">
        <v>0</v>
      </c>
      <c r="DC35" s="22">
        <f t="shared" si="43"/>
        <v>2</v>
      </c>
      <c r="DD35" s="23" t="str">
        <f>IF(SUMPRODUCT($J$62:DC$62,$J35:DC35)&lt;0.5, "Pending", IF(DC35&lt;0.5, "Complete", "In Progress"))</f>
        <v>Pending</v>
      </c>
      <c r="DE35" s="22">
        <v>0</v>
      </c>
      <c r="DF35" s="22">
        <f t="shared" si="44"/>
        <v>2</v>
      </c>
      <c r="DG35" s="23" t="str">
        <f>IF(SUMPRODUCT($J$62:DF$62,$J35:DF35)&lt;0.5, "Pending", IF(DF35&lt;0.5, "Complete", "In Progress"))</f>
        <v>Pending</v>
      </c>
      <c r="DH35" s="22">
        <v>0</v>
      </c>
      <c r="DI35" s="22">
        <f t="shared" si="45"/>
        <v>2</v>
      </c>
      <c r="DJ35" s="23" t="str">
        <f>IF(SUMPRODUCT($J$62:DI$62,$J35:DI35)&lt;0.5, "Pending", IF(DI35&lt;0.5, "Complete", "In Progress"))</f>
        <v>Pending</v>
      </c>
      <c r="DK35" s="22">
        <v>0</v>
      </c>
      <c r="DL35" s="22">
        <f t="shared" si="46"/>
        <v>2</v>
      </c>
      <c r="DM35" s="23" t="str">
        <f>IF(SUMPRODUCT($J$62:DL$62,$J35:DL35)&lt;0.5, "Pending", IF(DL35&lt;0.5, "Complete", "In Progress"))</f>
        <v>Pending</v>
      </c>
      <c r="DN35" s="22">
        <v>0</v>
      </c>
      <c r="DO35" s="22">
        <f t="shared" si="47"/>
        <v>2</v>
      </c>
      <c r="DP35" s="23" t="str">
        <f>IF(SUMPRODUCT($J$62:DO$62,$J35:DO35)&lt;0.5, "Pending", IF(DO35&lt;0.5, "Complete", "In Progress"))</f>
        <v>Pending</v>
      </c>
      <c r="DQ35" s="22">
        <v>0</v>
      </c>
      <c r="DR35" s="22">
        <f t="shared" si="48"/>
        <v>2</v>
      </c>
      <c r="DS35" s="23" t="str">
        <f>IF(SUMPRODUCT($J$62:DR$62,$J35:DR35)&lt;0.5, "Pending", IF(DR35&lt;0.5, "Complete", "In Progress"))</f>
        <v>Pending</v>
      </c>
      <c r="DT35" s="22">
        <v>0</v>
      </c>
      <c r="DU35" s="22">
        <f t="shared" si="49"/>
        <v>2</v>
      </c>
      <c r="DV35" s="23" t="str">
        <f>IF(SUMPRODUCT($J$62:DU$62,$J35:DU35)&lt;0.5, "Pending", IF(DU35&lt;0.5, "Complete", "In Progress"))</f>
        <v>Pending</v>
      </c>
      <c r="DW35" s="22">
        <v>0</v>
      </c>
      <c r="DX35" s="22">
        <f t="shared" si="50"/>
        <v>2</v>
      </c>
      <c r="DY35" s="23" t="str">
        <f>IF(SUMPRODUCT($J$62:DX$62,$J35:DX35)&lt;0.5, "Pending", IF(DX35&lt;0.5, "Complete", "In Progress"))</f>
        <v>Pending</v>
      </c>
      <c r="DZ35" s="24"/>
      <c r="EA35" s="25">
        <f>SUMPRODUCT($H$62:DG$62,$H35:DG35)</f>
        <v>0</v>
      </c>
    </row>
    <row r="36" spans="1:131" x14ac:dyDescent="0.25">
      <c r="A36" s="16" t="s">
        <v>124</v>
      </c>
      <c r="B36" s="16" t="s">
        <v>136</v>
      </c>
      <c r="C36" s="16" t="s">
        <v>121</v>
      </c>
      <c r="D36" s="17">
        <v>8</v>
      </c>
      <c r="E36" s="199" t="s">
        <v>150</v>
      </c>
      <c r="F36" s="18" t="s">
        <v>123</v>
      </c>
      <c r="G36" s="19" t="s">
        <v>166</v>
      </c>
      <c r="H36" s="20">
        <v>1</v>
      </c>
      <c r="I36" s="21">
        <v>2</v>
      </c>
      <c r="J36" s="22">
        <v>0</v>
      </c>
      <c r="K36" s="22">
        <f t="shared" si="11"/>
        <v>2</v>
      </c>
      <c r="L36" s="23" t="str">
        <f>IF(SUMPRODUCT($J$62:K$62,$J36:K36)&lt;0.5, "Pending", IF(K36&lt;0.5, "Complete", "In Progress"))</f>
        <v>Pending</v>
      </c>
      <c r="M36" s="22">
        <v>0</v>
      </c>
      <c r="N36" s="22">
        <f t="shared" si="12"/>
        <v>2</v>
      </c>
      <c r="O36" s="23" t="str">
        <f>IF(SUMPRODUCT($J$62:N$62,$J36:N36)&lt;0.5, "Pending", IF(N36&lt;0.5, "Complete", "In Progress"))</f>
        <v>Pending</v>
      </c>
      <c r="P36" s="22">
        <v>0</v>
      </c>
      <c r="Q36" s="22">
        <f t="shared" si="13"/>
        <v>2</v>
      </c>
      <c r="R36" s="23" t="str">
        <f>IF(SUMPRODUCT($J$62:Q$62,$J36:Q36)&lt;0.5, "Pending", IF(Q36&lt;0.5, "Complete", "In Progress"))</f>
        <v>Pending</v>
      </c>
      <c r="S36" s="22">
        <v>0</v>
      </c>
      <c r="T36" s="22">
        <f t="shared" si="14"/>
        <v>2</v>
      </c>
      <c r="U36" s="23" t="str">
        <f>IF(SUMPRODUCT($J$62:T$62,$J36:T36)&lt;0.5, "Pending", IF(T36&lt;0.5, "Complete", "In Progress"))</f>
        <v>Pending</v>
      </c>
      <c r="V36" s="22">
        <v>0</v>
      </c>
      <c r="W36" s="22">
        <f t="shared" si="15"/>
        <v>2</v>
      </c>
      <c r="X36" s="23" t="str">
        <f>IF(SUMPRODUCT($J$62:W$62,$J36:W36)&lt;0.5, "Pending", IF(W36&lt;0.5, "Complete", "In Progress"))</f>
        <v>Pending</v>
      </c>
      <c r="Y36" s="22">
        <v>0</v>
      </c>
      <c r="Z36" s="22">
        <f t="shared" si="16"/>
        <v>2</v>
      </c>
      <c r="AA36" s="23" t="str">
        <f>IF(SUMPRODUCT($J$62:Z$62,$J36:Z36)&lt;0.5, "Pending", IF(Z36&lt;0.5, "Complete", "In Progress"))</f>
        <v>Pending</v>
      </c>
      <c r="AB36" s="22">
        <v>0</v>
      </c>
      <c r="AC36" s="22">
        <f t="shared" si="17"/>
        <v>2</v>
      </c>
      <c r="AD36" s="23" t="str">
        <f>IF(SUMPRODUCT($J$62:AC$62,$J36:AC36)&lt;0.5, "Pending", IF(AC36&lt;0.5, "Complete", "In Progress"))</f>
        <v>Pending</v>
      </c>
      <c r="AE36" s="22">
        <v>0</v>
      </c>
      <c r="AF36" s="22">
        <f t="shared" si="18"/>
        <v>2</v>
      </c>
      <c r="AG36" s="23" t="str">
        <f>IF(SUMPRODUCT($J$62:AF$62,$J36:AF36)&lt;0.5, "Pending", IF(AF36&lt;0.5, "Complete", "In Progress"))</f>
        <v>Pending</v>
      </c>
      <c r="AH36" s="22">
        <v>0</v>
      </c>
      <c r="AI36" s="22">
        <f t="shared" si="19"/>
        <v>2</v>
      </c>
      <c r="AJ36" s="23" t="str">
        <f>IF(SUMPRODUCT($J$62:AI$62,$J36:AI36)&lt;0.5, "Pending", IF(AI36&lt;0.5, "Complete", "In Progress"))</f>
        <v>Pending</v>
      </c>
      <c r="AK36" s="22">
        <v>0</v>
      </c>
      <c r="AL36" s="22">
        <f t="shared" si="20"/>
        <v>2</v>
      </c>
      <c r="AM36" s="23" t="str">
        <f>IF(SUMPRODUCT($J$62:AL$62,$J36:AL36)&lt;0.5, "Pending", IF(AL36&lt;0.5, "Complete", "In Progress"))</f>
        <v>Pending</v>
      </c>
      <c r="AN36" s="22">
        <v>0</v>
      </c>
      <c r="AO36" s="22">
        <f t="shared" si="21"/>
        <v>2</v>
      </c>
      <c r="AP36" s="23" t="str">
        <f>IF(SUMPRODUCT($J$62:AO$62,$J36:AO36)&lt;0.5, "Pending", IF(AO36&lt;0.5, "Complete", "In Progress"))</f>
        <v>Pending</v>
      </c>
      <c r="AQ36" s="22">
        <v>0</v>
      </c>
      <c r="AR36" s="22">
        <f t="shared" si="22"/>
        <v>2</v>
      </c>
      <c r="AS36" s="23" t="str">
        <f>IF(SUMPRODUCT($J$62:AR$62,$J36:AR36)&lt;0.5, "Pending", IF(AR36&lt;0.5, "Complete", "In Progress"))</f>
        <v>Pending</v>
      </c>
      <c r="AT36" s="22">
        <v>0</v>
      </c>
      <c r="AU36" s="22">
        <f t="shared" si="23"/>
        <v>2</v>
      </c>
      <c r="AV36" s="23" t="str">
        <f>IF(SUMPRODUCT($J$62:AU$62,$J36:AU36)&lt;0.5, "Pending", IF(AU36&lt;0.5, "Complete", "In Progress"))</f>
        <v>Pending</v>
      </c>
      <c r="AW36" s="22">
        <v>0</v>
      </c>
      <c r="AX36" s="22">
        <f t="shared" si="24"/>
        <v>2</v>
      </c>
      <c r="AY36" s="23" t="str">
        <f>IF(SUMPRODUCT($J$62:AX$62,$J36:AX36)&lt;0.5, "Pending", IF(AX36&lt;0.5, "Complete", "In Progress"))</f>
        <v>Pending</v>
      </c>
      <c r="AZ36" s="22">
        <v>0</v>
      </c>
      <c r="BA36" s="22">
        <f t="shared" si="25"/>
        <v>2</v>
      </c>
      <c r="BB36" s="23" t="str">
        <f>IF(SUMPRODUCT($J$62:BA$62,$J36:BA36)&lt;0.5, "Pending", IF(BA36&lt;0.5, "Complete", "In Progress"))</f>
        <v>Pending</v>
      </c>
      <c r="BC36" s="22">
        <v>0</v>
      </c>
      <c r="BD36" s="22">
        <f t="shared" si="26"/>
        <v>2</v>
      </c>
      <c r="BE36" s="23" t="str">
        <f>IF(SUMPRODUCT($J$62:BD$62,$J36:BD36)&lt;0.5, "Pending", IF(BD36&lt;0.5, "Complete", "In Progress"))</f>
        <v>Pending</v>
      </c>
      <c r="BF36" s="22">
        <v>0</v>
      </c>
      <c r="BG36" s="22">
        <f t="shared" si="27"/>
        <v>2</v>
      </c>
      <c r="BH36" s="23" t="str">
        <f>IF(SUMPRODUCT($J$62:BG$62,$J36:BG36)&lt;0.5, "Pending", IF(BG36&lt;0.5, "Complete", "In Progress"))</f>
        <v>Pending</v>
      </c>
      <c r="BI36" s="22">
        <v>0</v>
      </c>
      <c r="BJ36" s="22">
        <f t="shared" si="28"/>
        <v>2</v>
      </c>
      <c r="BK36" s="23" t="str">
        <f>IF(SUMPRODUCT($J$62:BJ$62,$J36:BJ36)&lt;0.5, "Pending", IF(BJ36&lt;0.5, "Complete", "In Progress"))</f>
        <v>Pending</v>
      </c>
      <c r="BL36" s="22">
        <v>0</v>
      </c>
      <c r="BM36" s="22">
        <f t="shared" si="29"/>
        <v>2</v>
      </c>
      <c r="BN36" s="23" t="str">
        <f>IF(SUMPRODUCT($J$62:BM$62,$J36:BM36)&lt;0.5, "Pending", IF(BM36&lt;0.5, "Complete", "In Progress"))</f>
        <v>Pending</v>
      </c>
      <c r="BO36" s="22">
        <v>0</v>
      </c>
      <c r="BP36" s="22">
        <f t="shared" si="30"/>
        <v>2</v>
      </c>
      <c r="BQ36" s="23" t="str">
        <f>IF(SUMPRODUCT($J$62:BP$62,$J36:BP36)&lt;0.5, "Pending", IF(BP36&lt;0.5, "Complete", "In Progress"))</f>
        <v>Pending</v>
      </c>
      <c r="BR36" s="22">
        <v>0</v>
      </c>
      <c r="BS36" s="22">
        <f t="shared" si="31"/>
        <v>2</v>
      </c>
      <c r="BT36" s="23" t="str">
        <f>IF(SUMPRODUCT($J$62:BS$62,$J36:BS36)&lt;0.5, "Pending", IF(BS36&lt;0.5, "Complete", "In Progress"))</f>
        <v>Pending</v>
      </c>
      <c r="BU36" s="22">
        <v>0</v>
      </c>
      <c r="BV36" s="22">
        <f t="shared" si="32"/>
        <v>2</v>
      </c>
      <c r="BW36" s="23" t="str">
        <f>IF(SUMPRODUCT($J$62:BV$62,$J36:BV36)&lt;0.5, "Pending", IF(BV36&lt;0.5, "Complete", "In Progress"))</f>
        <v>Pending</v>
      </c>
      <c r="BX36" s="22">
        <v>0</v>
      </c>
      <c r="BY36" s="22">
        <f t="shared" si="33"/>
        <v>2</v>
      </c>
      <c r="BZ36" s="23" t="str">
        <f>IF(SUMPRODUCT($J$62:BY$62,$J36:BY36)&lt;0.5, "Pending", IF(BY36&lt;0.5, "Complete", "In Progress"))</f>
        <v>Pending</v>
      </c>
      <c r="CA36" s="22">
        <v>0</v>
      </c>
      <c r="CB36" s="22">
        <f t="shared" si="34"/>
        <v>2</v>
      </c>
      <c r="CC36" s="23" t="str">
        <f>IF(SUMPRODUCT($J$62:CB$62,$J36:CB36)&lt;0.5, "Pending", IF(CB36&lt;0.5, "Complete", "In Progress"))</f>
        <v>Pending</v>
      </c>
      <c r="CD36" s="22">
        <v>0</v>
      </c>
      <c r="CE36" s="22">
        <f t="shared" si="35"/>
        <v>2</v>
      </c>
      <c r="CF36" s="23" t="str">
        <f>IF(SUMPRODUCT($J$62:CE$62,$J36:CE36)&lt;0.5, "Pending", IF(CE36&lt;0.5, "Complete", "In Progress"))</f>
        <v>Pending</v>
      </c>
      <c r="CG36" s="22">
        <v>0</v>
      </c>
      <c r="CH36" s="22">
        <f t="shared" si="36"/>
        <v>2</v>
      </c>
      <c r="CI36" s="23" t="str">
        <f>IF(SUMPRODUCT($J$62:CH$62,$J36:CH36)&lt;0.5, "Pending", IF(CH36&lt;0.5, "Complete", "In Progress"))</f>
        <v>Pending</v>
      </c>
      <c r="CJ36" s="22">
        <v>0</v>
      </c>
      <c r="CK36" s="22">
        <f t="shared" si="37"/>
        <v>2</v>
      </c>
      <c r="CL36" s="23" t="str">
        <f>IF(SUMPRODUCT($J$62:CK$62,$J36:CK36)&lt;0.5, "Pending", IF(CK36&lt;0.5, "Complete", "In Progress"))</f>
        <v>Pending</v>
      </c>
      <c r="CM36" s="22">
        <v>0</v>
      </c>
      <c r="CN36" s="22">
        <f t="shared" si="38"/>
        <v>2</v>
      </c>
      <c r="CO36" s="23" t="str">
        <f>IF(SUMPRODUCT($J$62:CN$62,$J36:CN36)&lt;0.5, "Pending", IF(CN36&lt;0.5, "Complete", "In Progress"))</f>
        <v>Pending</v>
      </c>
      <c r="CP36" s="22">
        <v>0</v>
      </c>
      <c r="CQ36" s="22">
        <f t="shared" si="39"/>
        <v>2</v>
      </c>
      <c r="CR36" s="23" t="str">
        <f>IF(SUMPRODUCT($J$62:CQ$62,$J36:CQ36)&lt;0.5, "Pending", IF(CQ36&lt;0.5, "Complete", "In Progress"))</f>
        <v>Pending</v>
      </c>
      <c r="CS36" s="22">
        <v>0</v>
      </c>
      <c r="CT36" s="22">
        <f t="shared" si="40"/>
        <v>2</v>
      </c>
      <c r="CU36" s="23" t="str">
        <f>IF(SUMPRODUCT($J$62:CT$62,$J36:CT36)&lt;0.5, "Pending", IF(CT36&lt;0.5, "Complete", "In Progress"))</f>
        <v>Pending</v>
      </c>
      <c r="CV36" s="22">
        <v>0</v>
      </c>
      <c r="CW36" s="22">
        <f t="shared" si="41"/>
        <v>2</v>
      </c>
      <c r="CX36" s="23" t="str">
        <f>IF(SUMPRODUCT($J$62:CW$62,$J36:CW36)&lt;0.5, "Pending", IF(CW36&lt;0.5, "Complete", "In Progress"))</f>
        <v>Pending</v>
      </c>
      <c r="CY36" s="22">
        <v>0</v>
      </c>
      <c r="CZ36" s="22">
        <f t="shared" si="42"/>
        <v>2</v>
      </c>
      <c r="DA36" s="23" t="str">
        <f>IF(SUMPRODUCT($J$62:CZ$62,$J36:CZ36)&lt;0.5, "Pending", IF(CZ36&lt;0.5, "Complete", "In Progress"))</f>
        <v>Pending</v>
      </c>
      <c r="DB36" s="22">
        <v>0</v>
      </c>
      <c r="DC36" s="22">
        <f t="shared" si="43"/>
        <v>2</v>
      </c>
      <c r="DD36" s="23" t="str">
        <f>IF(SUMPRODUCT($J$62:DC$62,$J36:DC36)&lt;0.5, "Pending", IF(DC36&lt;0.5, "Complete", "In Progress"))</f>
        <v>Pending</v>
      </c>
      <c r="DE36" s="22">
        <v>0</v>
      </c>
      <c r="DF36" s="22">
        <f t="shared" si="44"/>
        <v>2</v>
      </c>
      <c r="DG36" s="23" t="str">
        <f>IF(SUMPRODUCT($J$62:DF$62,$J36:DF36)&lt;0.5, "Pending", IF(DF36&lt;0.5, "Complete", "In Progress"))</f>
        <v>Pending</v>
      </c>
      <c r="DH36" s="22">
        <v>0</v>
      </c>
      <c r="DI36" s="22">
        <f t="shared" si="45"/>
        <v>2</v>
      </c>
      <c r="DJ36" s="23" t="str">
        <f>IF(SUMPRODUCT($J$62:DI$62,$J36:DI36)&lt;0.5, "Pending", IF(DI36&lt;0.5, "Complete", "In Progress"))</f>
        <v>Pending</v>
      </c>
      <c r="DK36" s="22">
        <v>0</v>
      </c>
      <c r="DL36" s="22">
        <f t="shared" si="46"/>
        <v>2</v>
      </c>
      <c r="DM36" s="23" t="str">
        <f>IF(SUMPRODUCT($J$62:DL$62,$J36:DL36)&lt;0.5, "Pending", IF(DL36&lt;0.5, "Complete", "In Progress"))</f>
        <v>Pending</v>
      </c>
      <c r="DN36" s="22">
        <v>0</v>
      </c>
      <c r="DO36" s="22">
        <f t="shared" si="47"/>
        <v>2</v>
      </c>
      <c r="DP36" s="23" t="str">
        <f>IF(SUMPRODUCT($J$62:DO$62,$J36:DO36)&lt;0.5, "Pending", IF(DO36&lt;0.5, "Complete", "In Progress"))</f>
        <v>Pending</v>
      </c>
      <c r="DQ36" s="22">
        <v>0</v>
      </c>
      <c r="DR36" s="22">
        <f t="shared" si="48"/>
        <v>2</v>
      </c>
      <c r="DS36" s="23" t="str">
        <f>IF(SUMPRODUCT($J$62:DR$62,$J36:DR36)&lt;0.5, "Pending", IF(DR36&lt;0.5, "Complete", "In Progress"))</f>
        <v>Pending</v>
      </c>
      <c r="DT36" s="22">
        <v>0</v>
      </c>
      <c r="DU36" s="22">
        <f t="shared" si="49"/>
        <v>2</v>
      </c>
      <c r="DV36" s="23" t="str">
        <f>IF(SUMPRODUCT($J$62:DU$62,$J36:DU36)&lt;0.5, "Pending", IF(DU36&lt;0.5, "Complete", "In Progress"))</f>
        <v>Pending</v>
      </c>
      <c r="DW36" s="22">
        <v>0</v>
      </c>
      <c r="DX36" s="22">
        <f t="shared" si="50"/>
        <v>2</v>
      </c>
      <c r="DY36" s="23" t="str">
        <f>IF(SUMPRODUCT($J$62:DX$62,$J36:DX36)&lt;0.5, "Pending", IF(DX36&lt;0.5, "Complete", "In Progress"))</f>
        <v>Pending</v>
      </c>
      <c r="DZ36" s="24"/>
      <c r="EA36" s="25">
        <f>SUMPRODUCT($H$62:DG$62,$H36:DG36)</f>
        <v>0</v>
      </c>
    </row>
    <row r="37" spans="1:131" x14ac:dyDescent="0.25">
      <c r="A37" s="16" t="s">
        <v>151</v>
      </c>
      <c r="B37" s="16" t="s">
        <v>152</v>
      </c>
      <c r="C37" s="16" t="s">
        <v>121</v>
      </c>
      <c r="D37" s="17">
        <v>9</v>
      </c>
      <c r="E37" s="199" t="s">
        <v>153</v>
      </c>
      <c r="F37" s="18" t="s">
        <v>129</v>
      </c>
      <c r="G37" s="19" t="s">
        <v>167</v>
      </c>
      <c r="H37" s="20">
        <v>1</v>
      </c>
      <c r="I37" s="21">
        <v>8</v>
      </c>
      <c r="J37" s="22">
        <v>0</v>
      </c>
      <c r="K37" s="22">
        <f t="shared" si="11"/>
        <v>8</v>
      </c>
      <c r="L37" s="23" t="str">
        <f>IF(SUMPRODUCT($J$62:K$62,$J37:K37)&lt;0.5, "Pending", IF(K37&lt;0.5, "Complete", "In Progress"))</f>
        <v>Pending</v>
      </c>
      <c r="M37" s="22">
        <v>0</v>
      </c>
      <c r="N37" s="22">
        <f t="shared" si="12"/>
        <v>8</v>
      </c>
      <c r="O37" s="23" t="str">
        <f>IF(SUMPRODUCT($J$62:N$62,$J37:N37)&lt;0.5, "Pending", IF(N37&lt;0.5, "Complete", "In Progress"))</f>
        <v>Pending</v>
      </c>
      <c r="P37" s="22">
        <v>0</v>
      </c>
      <c r="Q37" s="22">
        <f t="shared" si="13"/>
        <v>8</v>
      </c>
      <c r="R37" s="23" t="str">
        <f>IF(SUMPRODUCT($J$62:Q$62,$J37:Q37)&lt;0.5, "Pending", IF(Q37&lt;0.5, "Complete", "In Progress"))</f>
        <v>Pending</v>
      </c>
      <c r="S37" s="22">
        <v>0</v>
      </c>
      <c r="T37" s="22">
        <f t="shared" si="14"/>
        <v>8</v>
      </c>
      <c r="U37" s="23" t="str">
        <f>IF(SUMPRODUCT($J$62:T$62,$J37:T37)&lt;0.5, "Pending", IF(T37&lt;0.5, "Complete", "In Progress"))</f>
        <v>Pending</v>
      </c>
      <c r="V37" s="22">
        <v>0</v>
      </c>
      <c r="W37" s="22">
        <f t="shared" si="15"/>
        <v>8</v>
      </c>
      <c r="X37" s="23" t="str">
        <f>IF(SUMPRODUCT($J$62:W$62,$J37:W37)&lt;0.5, "Pending", IF(W37&lt;0.5, "Complete", "In Progress"))</f>
        <v>Pending</v>
      </c>
      <c r="Y37" s="22">
        <v>0</v>
      </c>
      <c r="Z37" s="22">
        <f t="shared" si="16"/>
        <v>8</v>
      </c>
      <c r="AA37" s="23" t="str">
        <f>IF(SUMPRODUCT($J$62:Z$62,$J37:Z37)&lt;0.5, "Pending", IF(Z37&lt;0.5, "Complete", "In Progress"))</f>
        <v>Pending</v>
      </c>
      <c r="AB37" s="22">
        <v>0</v>
      </c>
      <c r="AC37" s="22">
        <f t="shared" si="17"/>
        <v>8</v>
      </c>
      <c r="AD37" s="23" t="str">
        <f>IF(SUMPRODUCT($J$62:AC$62,$J37:AC37)&lt;0.5, "Pending", IF(AC37&lt;0.5, "Complete", "In Progress"))</f>
        <v>Pending</v>
      </c>
      <c r="AE37" s="22">
        <v>0</v>
      </c>
      <c r="AF37" s="22">
        <f t="shared" si="18"/>
        <v>8</v>
      </c>
      <c r="AG37" s="23" t="str">
        <f>IF(SUMPRODUCT($J$62:AF$62,$J37:AF37)&lt;0.5, "Pending", IF(AF37&lt;0.5, "Complete", "In Progress"))</f>
        <v>Pending</v>
      </c>
      <c r="AH37" s="22">
        <v>0</v>
      </c>
      <c r="AI37" s="22">
        <f t="shared" si="19"/>
        <v>8</v>
      </c>
      <c r="AJ37" s="23" t="str">
        <f>IF(SUMPRODUCT($J$62:AI$62,$J37:AI37)&lt;0.5, "Pending", IF(AI37&lt;0.5, "Complete", "In Progress"))</f>
        <v>Pending</v>
      </c>
      <c r="AK37" s="22">
        <v>0</v>
      </c>
      <c r="AL37" s="22">
        <f t="shared" si="20"/>
        <v>8</v>
      </c>
      <c r="AM37" s="23" t="str">
        <f>IF(SUMPRODUCT($J$62:AL$62,$J37:AL37)&lt;0.5, "Pending", IF(AL37&lt;0.5, "Complete", "In Progress"))</f>
        <v>Pending</v>
      </c>
      <c r="AN37" s="22">
        <v>0</v>
      </c>
      <c r="AO37" s="22">
        <f t="shared" si="21"/>
        <v>8</v>
      </c>
      <c r="AP37" s="23" t="str">
        <f>IF(SUMPRODUCT($J$62:AO$62,$J37:AO37)&lt;0.5, "Pending", IF(AO37&lt;0.5, "Complete", "In Progress"))</f>
        <v>Pending</v>
      </c>
      <c r="AQ37" s="22">
        <v>0</v>
      </c>
      <c r="AR37" s="22">
        <f t="shared" si="22"/>
        <v>8</v>
      </c>
      <c r="AS37" s="23" t="str">
        <f>IF(SUMPRODUCT($J$62:AR$62,$J37:AR37)&lt;0.5, "Pending", IF(AR37&lt;0.5, "Complete", "In Progress"))</f>
        <v>Pending</v>
      </c>
      <c r="AT37" s="22">
        <v>0</v>
      </c>
      <c r="AU37" s="22">
        <f t="shared" si="23"/>
        <v>8</v>
      </c>
      <c r="AV37" s="23" t="str">
        <f>IF(SUMPRODUCT($J$62:AU$62,$J37:AU37)&lt;0.5, "Pending", IF(AU37&lt;0.5, "Complete", "In Progress"))</f>
        <v>Pending</v>
      </c>
      <c r="AW37" s="22">
        <v>0</v>
      </c>
      <c r="AX37" s="22">
        <f t="shared" si="24"/>
        <v>8</v>
      </c>
      <c r="AY37" s="23" t="str">
        <f>IF(SUMPRODUCT($J$62:AX$62,$J37:AX37)&lt;0.5, "Pending", IF(AX37&lt;0.5, "Complete", "In Progress"))</f>
        <v>Pending</v>
      </c>
      <c r="AZ37" s="22">
        <v>0</v>
      </c>
      <c r="BA37" s="22">
        <f t="shared" si="25"/>
        <v>8</v>
      </c>
      <c r="BB37" s="23" t="str">
        <f>IF(SUMPRODUCT($J$62:BA$62,$J37:BA37)&lt;0.5, "Pending", IF(BA37&lt;0.5, "Complete", "In Progress"))</f>
        <v>Pending</v>
      </c>
      <c r="BC37" s="22">
        <v>0</v>
      </c>
      <c r="BD37" s="22">
        <f t="shared" si="26"/>
        <v>8</v>
      </c>
      <c r="BE37" s="23" t="str">
        <f>IF(SUMPRODUCT($J$62:BD$62,$J37:BD37)&lt;0.5, "Pending", IF(BD37&lt;0.5, "Complete", "In Progress"))</f>
        <v>Pending</v>
      </c>
      <c r="BF37" s="22">
        <v>0</v>
      </c>
      <c r="BG37" s="22">
        <f t="shared" si="27"/>
        <v>8</v>
      </c>
      <c r="BH37" s="23" t="str">
        <f>IF(SUMPRODUCT($J$62:BG$62,$J37:BG37)&lt;0.5, "Pending", IF(BG37&lt;0.5, "Complete", "In Progress"))</f>
        <v>Pending</v>
      </c>
      <c r="BI37" s="22">
        <v>0</v>
      </c>
      <c r="BJ37" s="22">
        <f t="shared" si="28"/>
        <v>8</v>
      </c>
      <c r="BK37" s="23" t="str">
        <f>IF(SUMPRODUCT($J$62:BJ$62,$J37:BJ37)&lt;0.5, "Pending", IF(BJ37&lt;0.5, "Complete", "In Progress"))</f>
        <v>Pending</v>
      </c>
      <c r="BL37" s="22">
        <v>0</v>
      </c>
      <c r="BM37" s="22">
        <f t="shared" si="29"/>
        <v>8</v>
      </c>
      <c r="BN37" s="23" t="str">
        <f>IF(SUMPRODUCT($J$62:BM$62,$J37:BM37)&lt;0.5, "Pending", IF(BM37&lt;0.5, "Complete", "In Progress"))</f>
        <v>Pending</v>
      </c>
      <c r="BO37" s="22">
        <v>0</v>
      </c>
      <c r="BP37" s="22">
        <f t="shared" si="30"/>
        <v>8</v>
      </c>
      <c r="BQ37" s="23" t="str">
        <f>IF(SUMPRODUCT($J$62:BP$62,$J37:BP37)&lt;0.5, "Pending", IF(BP37&lt;0.5, "Complete", "In Progress"))</f>
        <v>Pending</v>
      </c>
      <c r="BR37" s="22">
        <v>0</v>
      </c>
      <c r="BS37" s="22">
        <f t="shared" si="31"/>
        <v>8</v>
      </c>
      <c r="BT37" s="23" t="str">
        <f>IF(SUMPRODUCT($J$62:BS$62,$J37:BS37)&lt;0.5, "Pending", IF(BS37&lt;0.5, "Complete", "In Progress"))</f>
        <v>Pending</v>
      </c>
      <c r="BU37" s="22">
        <v>0</v>
      </c>
      <c r="BV37" s="22">
        <f t="shared" si="32"/>
        <v>8</v>
      </c>
      <c r="BW37" s="23" t="str">
        <f>IF(SUMPRODUCT($J$62:BV$62,$J37:BV37)&lt;0.5, "Pending", IF(BV37&lt;0.5, "Complete", "In Progress"))</f>
        <v>Pending</v>
      </c>
      <c r="BX37" s="22">
        <v>0</v>
      </c>
      <c r="BY37" s="22">
        <f t="shared" si="33"/>
        <v>8</v>
      </c>
      <c r="BZ37" s="23" t="str">
        <f>IF(SUMPRODUCT($J$62:BY$62,$J37:BY37)&lt;0.5, "Pending", IF(BY37&lt;0.5, "Complete", "In Progress"))</f>
        <v>Pending</v>
      </c>
      <c r="CA37" s="22">
        <v>0</v>
      </c>
      <c r="CB37" s="22">
        <f t="shared" si="34"/>
        <v>8</v>
      </c>
      <c r="CC37" s="23" t="str">
        <f>IF(SUMPRODUCT($J$62:CB$62,$J37:CB37)&lt;0.5, "Pending", IF(CB37&lt;0.5, "Complete", "In Progress"))</f>
        <v>Pending</v>
      </c>
      <c r="CD37" s="22">
        <v>0</v>
      </c>
      <c r="CE37" s="22">
        <f t="shared" si="35"/>
        <v>8</v>
      </c>
      <c r="CF37" s="23" t="str">
        <f>IF(SUMPRODUCT($J$62:CE$62,$J37:CE37)&lt;0.5, "Pending", IF(CE37&lt;0.5, "Complete", "In Progress"))</f>
        <v>Pending</v>
      </c>
      <c r="CG37" s="22">
        <v>0</v>
      </c>
      <c r="CH37" s="22">
        <f t="shared" si="36"/>
        <v>8</v>
      </c>
      <c r="CI37" s="23" t="str">
        <f>IF(SUMPRODUCT($J$62:CH$62,$J37:CH37)&lt;0.5, "Pending", IF(CH37&lt;0.5, "Complete", "In Progress"))</f>
        <v>Pending</v>
      </c>
      <c r="CJ37" s="22">
        <v>0</v>
      </c>
      <c r="CK37" s="22">
        <f t="shared" si="37"/>
        <v>8</v>
      </c>
      <c r="CL37" s="23" t="str">
        <f>IF(SUMPRODUCT($J$62:CK$62,$J37:CK37)&lt;0.5, "Pending", IF(CK37&lt;0.5, "Complete", "In Progress"))</f>
        <v>Pending</v>
      </c>
      <c r="CM37" s="22">
        <v>0</v>
      </c>
      <c r="CN37" s="22">
        <f t="shared" si="38"/>
        <v>8</v>
      </c>
      <c r="CO37" s="23" t="str">
        <f>IF(SUMPRODUCT($J$62:CN$62,$J37:CN37)&lt;0.5, "Pending", IF(CN37&lt;0.5, "Complete", "In Progress"))</f>
        <v>Pending</v>
      </c>
      <c r="CP37" s="22">
        <v>0</v>
      </c>
      <c r="CQ37" s="22">
        <f t="shared" si="39"/>
        <v>8</v>
      </c>
      <c r="CR37" s="23" t="str">
        <f>IF(SUMPRODUCT($J$62:CQ$62,$J37:CQ37)&lt;0.5, "Pending", IF(CQ37&lt;0.5, "Complete", "In Progress"))</f>
        <v>Pending</v>
      </c>
      <c r="CS37" s="22">
        <v>0</v>
      </c>
      <c r="CT37" s="22">
        <f t="shared" si="40"/>
        <v>8</v>
      </c>
      <c r="CU37" s="23" t="str">
        <f>IF(SUMPRODUCT($J$62:CT$62,$J37:CT37)&lt;0.5, "Pending", IF(CT37&lt;0.5, "Complete", "In Progress"))</f>
        <v>Pending</v>
      </c>
      <c r="CV37" s="22">
        <v>0</v>
      </c>
      <c r="CW37" s="22">
        <f t="shared" si="41"/>
        <v>8</v>
      </c>
      <c r="CX37" s="23" t="str">
        <f>IF(SUMPRODUCT($J$62:CW$62,$J37:CW37)&lt;0.5, "Pending", IF(CW37&lt;0.5, "Complete", "In Progress"))</f>
        <v>Pending</v>
      </c>
      <c r="CY37" s="22">
        <v>0</v>
      </c>
      <c r="CZ37" s="22">
        <f t="shared" si="42"/>
        <v>8</v>
      </c>
      <c r="DA37" s="23" t="str">
        <f>IF(SUMPRODUCT($J$62:CZ$62,$J37:CZ37)&lt;0.5, "Pending", IF(CZ37&lt;0.5, "Complete", "In Progress"))</f>
        <v>Pending</v>
      </c>
      <c r="DB37" s="22">
        <v>0</v>
      </c>
      <c r="DC37" s="22">
        <f t="shared" si="43"/>
        <v>8</v>
      </c>
      <c r="DD37" s="23" t="str">
        <f>IF(SUMPRODUCT($J$62:DC$62,$J37:DC37)&lt;0.5, "Pending", IF(DC37&lt;0.5, "Complete", "In Progress"))</f>
        <v>Pending</v>
      </c>
      <c r="DE37" s="22">
        <v>0</v>
      </c>
      <c r="DF37" s="22">
        <f t="shared" si="44"/>
        <v>8</v>
      </c>
      <c r="DG37" s="23" t="str">
        <f>IF(SUMPRODUCT($J$62:DF$62,$J37:DF37)&lt;0.5, "Pending", IF(DF37&lt;0.5, "Complete", "In Progress"))</f>
        <v>Pending</v>
      </c>
      <c r="DH37" s="22">
        <v>0</v>
      </c>
      <c r="DI37" s="22">
        <f t="shared" si="45"/>
        <v>8</v>
      </c>
      <c r="DJ37" s="23" t="str">
        <f>IF(SUMPRODUCT($J$62:DI$62,$J37:DI37)&lt;0.5, "Pending", IF(DI37&lt;0.5, "Complete", "In Progress"))</f>
        <v>Pending</v>
      </c>
      <c r="DK37" s="22">
        <v>0</v>
      </c>
      <c r="DL37" s="22">
        <f t="shared" si="46"/>
        <v>8</v>
      </c>
      <c r="DM37" s="23" t="str">
        <f>IF(SUMPRODUCT($J$62:DL$62,$J37:DL37)&lt;0.5, "Pending", IF(DL37&lt;0.5, "Complete", "In Progress"))</f>
        <v>Pending</v>
      </c>
      <c r="DN37" s="22">
        <v>0</v>
      </c>
      <c r="DO37" s="22">
        <f t="shared" si="47"/>
        <v>8</v>
      </c>
      <c r="DP37" s="23" t="str">
        <f>IF(SUMPRODUCT($J$62:DO$62,$J37:DO37)&lt;0.5, "Pending", IF(DO37&lt;0.5, "Complete", "In Progress"))</f>
        <v>Pending</v>
      </c>
      <c r="DQ37" s="22">
        <v>0</v>
      </c>
      <c r="DR37" s="22">
        <f t="shared" si="48"/>
        <v>8</v>
      </c>
      <c r="DS37" s="23" t="str">
        <f>IF(SUMPRODUCT($J$62:DR$62,$J37:DR37)&lt;0.5, "Pending", IF(DR37&lt;0.5, "Complete", "In Progress"))</f>
        <v>Pending</v>
      </c>
      <c r="DT37" s="22">
        <v>0</v>
      </c>
      <c r="DU37" s="22">
        <f t="shared" si="49"/>
        <v>8</v>
      </c>
      <c r="DV37" s="23" t="str">
        <f>IF(SUMPRODUCT($J$62:DU$62,$J37:DU37)&lt;0.5, "Pending", IF(DU37&lt;0.5, "Complete", "In Progress"))</f>
        <v>Pending</v>
      </c>
      <c r="DW37" s="22">
        <v>0</v>
      </c>
      <c r="DX37" s="22">
        <f t="shared" si="50"/>
        <v>8</v>
      </c>
      <c r="DY37" s="23" t="str">
        <f>IF(SUMPRODUCT($J$62:DX$62,$J37:DX37)&lt;0.5, "Pending", IF(DX37&lt;0.5, "Complete", "In Progress"))</f>
        <v>Pending</v>
      </c>
      <c r="DZ37" s="24"/>
      <c r="EA37" s="25">
        <f>SUMPRODUCT($H$62:DG$62,$H37:DG37)</f>
        <v>0</v>
      </c>
    </row>
    <row r="38" spans="1:131" x14ac:dyDescent="0.25">
      <c r="A38" s="16" t="s">
        <v>151</v>
      </c>
      <c r="B38" s="16" t="s">
        <v>152</v>
      </c>
      <c r="C38" s="16" t="s">
        <v>121</v>
      </c>
      <c r="D38" s="17">
        <v>9</v>
      </c>
      <c r="E38" s="199" t="s">
        <v>153</v>
      </c>
      <c r="F38" s="18" t="s">
        <v>134</v>
      </c>
      <c r="G38" s="19" t="s">
        <v>167</v>
      </c>
      <c r="H38" s="20">
        <v>1</v>
      </c>
      <c r="I38" s="21">
        <v>8</v>
      </c>
      <c r="J38" s="22">
        <v>0</v>
      </c>
      <c r="K38" s="22">
        <f t="shared" si="11"/>
        <v>8</v>
      </c>
      <c r="L38" s="23" t="str">
        <f>IF(SUMPRODUCT($J$62:K$62,$J38:K38)&lt;0.5, "Pending", IF(K38&lt;0.5, "Complete", "In Progress"))</f>
        <v>Pending</v>
      </c>
      <c r="M38" s="22">
        <v>0</v>
      </c>
      <c r="N38" s="22">
        <f t="shared" si="12"/>
        <v>8</v>
      </c>
      <c r="O38" s="23" t="str">
        <f>IF(SUMPRODUCT($J$62:N$62,$J38:N38)&lt;0.5, "Pending", IF(N38&lt;0.5, "Complete", "In Progress"))</f>
        <v>Pending</v>
      </c>
      <c r="P38" s="22">
        <v>0</v>
      </c>
      <c r="Q38" s="22">
        <f t="shared" si="13"/>
        <v>8</v>
      </c>
      <c r="R38" s="23" t="str">
        <f>IF(SUMPRODUCT($J$62:Q$62,$J38:Q38)&lt;0.5, "Pending", IF(Q38&lt;0.5, "Complete", "In Progress"))</f>
        <v>Pending</v>
      </c>
      <c r="S38" s="22">
        <v>0</v>
      </c>
      <c r="T38" s="22">
        <f t="shared" si="14"/>
        <v>8</v>
      </c>
      <c r="U38" s="23" t="str">
        <f>IF(SUMPRODUCT($J$62:T$62,$J38:T38)&lt;0.5, "Pending", IF(T38&lt;0.5, "Complete", "In Progress"))</f>
        <v>Pending</v>
      </c>
      <c r="V38" s="22">
        <v>0</v>
      </c>
      <c r="W38" s="22">
        <f t="shared" si="15"/>
        <v>8</v>
      </c>
      <c r="X38" s="23" t="str">
        <f>IF(SUMPRODUCT($J$62:W$62,$J38:W38)&lt;0.5, "Pending", IF(W38&lt;0.5, "Complete", "In Progress"))</f>
        <v>Pending</v>
      </c>
      <c r="Y38" s="22">
        <v>0</v>
      </c>
      <c r="Z38" s="22">
        <f t="shared" si="16"/>
        <v>8</v>
      </c>
      <c r="AA38" s="23" t="str">
        <f>IF(SUMPRODUCT($J$62:Z$62,$J38:Z38)&lt;0.5, "Pending", IF(Z38&lt;0.5, "Complete", "In Progress"))</f>
        <v>Pending</v>
      </c>
      <c r="AB38" s="22">
        <v>0</v>
      </c>
      <c r="AC38" s="22">
        <f t="shared" si="17"/>
        <v>8</v>
      </c>
      <c r="AD38" s="23" t="str">
        <f>IF(SUMPRODUCT($J$62:AC$62,$J38:AC38)&lt;0.5, "Pending", IF(AC38&lt;0.5, "Complete", "In Progress"))</f>
        <v>Pending</v>
      </c>
      <c r="AE38" s="22">
        <v>0</v>
      </c>
      <c r="AF38" s="22">
        <f t="shared" si="18"/>
        <v>8</v>
      </c>
      <c r="AG38" s="23" t="str">
        <f>IF(SUMPRODUCT($J$62:AF$62,$J38:AF38)&lt;0.5, "Pending", IF(AF38&lt;0.5, "Complete", "In Progress"))</f>
        <v>Pending</v>
      </c>
      <c r="AH38" s="22">
        <v>0</v>
      </c>
      <c r="AI38" s="22">
        <f t="shared" si="19"/>
        <v>8</v>
      </c>
      <c r="AJ38" s="23" t="str">
        <f>IF(SUMPRODUCT($J$62:AI$62,$J38:AI38)&lt;0.5, "Pending", IF(AI38&lt;0.5, "Complete", "In Progress"))</f>
        <v>Pending</v>
      </c>
      <c r="AK38" s="22">
        <v>0</v>
      </c>
      <c r="AL38" s="22">
        <f t="shared" si="20"/>
        <v>8</v>
      </c>
      <c r="AM38" s="23" t="str">
        <f>IF(SUMPRODUCT($J$62:AL$62,$J38:AL38)&lt;0.5, "Pending", IF(AL38&lt;0.5, "Complete", "In Progress"))</f>
        <v>Pending</v>
      </c>
      <c r="AN38" s="22">
        <v>0</v>
      </c>
      <c r="AO38" s="22">
        <f t="shared" si="21"/>
        <v>8</v>
      </c>
      <c r="AP38" s="23" t="str">
        <f>IF(SUMPRODUCT($J$62:AO$62,$J38:AO38)&lt;0.5, "Pending", IF(AO38&lt;0.5, "Complete", "In Progress"))</f>
        <v>Pending</v>
      </c>
      <c r="AQ38" s="22">
        <v>0</v>
      </c>
      <c r="AR38" s="22">
        <f t="shared" si="22"/>
        <v>8</v>
      </c>
      <c r="AS38" s="23" t="str">
        <f>IF(SUMPRODUCT($J$62:AR$62,$J38:AR38)&lt;0.5, "Pending", IF(AR38&lt;0.5, "Complete", "In Progress"))</f>
        <v>Pending</v>
      </c>
      <c r="AT38" s="22">
        <v>0</v>
      </c>
      <c r="AU38" s="22">
        <f t="shared" si="23"/>
        <v>8</v>
      </c>
      <c r="AV38" s="23" t="str">
        <f>IF(SUMPRODUCT($J$62:AU$62,$J38:AU38)&lt;0.5, "Pending", IF(AU38&lt;0.5, "Complete", "In Progress"))</f>
        <v>Pending</v>
      </c>
      <c r="AW38" s="22">
        <v>0</v>
      </c>
      <c r="AX38" s="22">
        <f t="shared" si="24"/>
        <v>8</v>
      </c>
      <c r="AY38" s="23" t="str">
        <f>IF(SUMPRODUCT($J$62:AX$62,$J38:AX38)&lt;0.5, "Pending", IF(AX38&lt;0.5, "Complete", "In Progress"))</f>
        <v>Pending</v>
      </c>
      <c r="AZ38" s="22">
        <v>0</v>
      </c>
      <c r="BA38" s="22">
        <f t="shared" si="25"/>
        <v>8</v>
      </c>
      <c r="BB38" s="23" t="str">
        <f>IF(SUMPRODUCT($J$62:BA$62,$J38:BA38)&lt;0.5, "Pending", IF(BA38&lt;0.5, "Complete", "In Progress"))</f>
        <v>Pending</v>
      </c>
      <c r="BC38" s="22">
        <v>0</v>
      </c>
      <c r="BD38" s="22">
        <f t="shared" si="26"/>
        <v>8</v>
      </c>
      <c r="BE38" s="23" t="str">
        <f>IF(SUMPRODUCT($J$62:BD$62,$J38:BD38)&lt;0.5, "Pending", IF(BD38&lt;0.5, "Complete", "In Progress"))</f>
        <v>Pending</v>
      </c>
      <c r="BF38" s="22">
        <v>0</v>
      </c>
      <c r="BG38" s="22">
        <f t="shared" si="27"/>
        <v>8</v>
      </c>
      <c r="BH38" s="23" t="str">
        <f>IF(SUMPRODUCT($J$62:BG$62,$J38:BG38)&lt;0.5, "Pending", IF(BG38&lt;0.5, "Complete", "In Progress"))</f>
        <v>Pending</v>
      </c>
      <c r="BI38" s="22">
        <v>0</v>
      </c>
      <c r="BJ38" s="22">
        <f t="shared" si="28"/>
        <v>8</v>
      </c>
      <c r="BK38" s="23" t="str">
        <f>IF(SUMPRODUCT($J$62:BJ$62,$J38:BJ38)&lt;0.5, "Pending", IF(BJ38&lt;0.5, "Complete", "In Progress"))</f>
        <v>Pending</v>
      </c>
      <c r="BL38" s="22">
        <v>0</v>
      </c>
      <c r="BM38" s="22">
        <f t="shared" si="29"/>
        <v>8</v>
      </c>
      <c r="BN38" s="23" t="str">
        <f>IF(SUMPRODUCT($J$62:BM$62,$J38:BM38)&lt;0.5, "Pending", IF(BM38&lt;0.5, "Complete", "In Progress"))</f>
        <v>Pending</v>
      </c>
      <c r="BO38" s="22">
        <v>0</v>
      </c>
      <c r="BP38" s="22">
        <f t="shared" si="30"/>
        <v>8</v>
      </c>
      <c r="BQ38" s="23" t="str">
        <f>IF(SUMPRODUCT($J$62:BP$62,$J38:BP38)&lt;0.5, "Pending", IF(BP38&lt;0.5, "Complete", "In Progress"))</f>
        <v>Pending</v>
      </c>
      <c r="BR38" s="22">
        <v>0</v>
      </c>
      <c r="BS38" s="22">
        <f t="shared" si="31"/>
        <v>8</v>
      </c>
      <c r="BT38" s="23" t="str">
        <f>IF(SUMPRODUCT($J$62:BS$62,$J38:BS38)&lt;0.5, "Pending", IF(BS38&lt;0.5, "Complete", "In Progress"))</f>
        <v>Pending</v>
      </c>
      <c r="BU38" s="22">
        <v>0</v>
      </c>
      <c r="BV38" s="22">
        <f t="shared" si="32"/>
        <v>8</v>
      </c>
      <c r="BW38" s="23" t="str">
        <f>IF(SUMPRODUCT($J$62:BV$62,$J38:BV38)&lt;0.5, "Pending", IF(BV38&lt;0.5, "Complete", "In Progress"))</f>
        <v>Pending</v>
      </c>
      <c r="BX38" s="22">
        <v>0</v>
      </c>
      <c r="BY38" s="22">
        <f t="shared" si="33"/>
        <v>8</v>
      </c>
      <c r="BZ38" s="23" t="str">
        <f>IF(SUMPRODUCT($J$62:BY$62,$J38:BY38)&lt;0.5, "Pending", IF(BY38&lt;0.5, "Complete", "In Progress"))</f>
        <v>Pending</v>
      </c>
      <c r="CA38" s="22">
        <v>0</v>
      </c>
      <c r="CB38" s="22">
        <f t="shared" si="34"/>
        <v>8</v>
      </c>
      <c r="CC38" s="23" t="str">
        <f>IF(SUMPRODUCT($J$62:CB$62,$J38:CB38)&lt;0.5, "Pending", IF(CB38&lt;0.5, "Complete", "In Progress"))</f>
        <v>Pending</v>
      </c>
      <c r="CD38" s="22">
        <v>0</v>
      </c>
      <c r="CE38" s="22">
        <f t="shared" si="35"/>
        <v>8</v>
      </c>
      <c r="CF38" s="23" t="str">
        <f>IF(SUMPRODUCT($J$62:CE$62,$J38:CE38)&lt;0.5, "Pending", IF(CE38&lt;0.5, "Complete", "In Progress"))</f>
        <v>Pending</v>
      </c>
      <c r="CG38" s="22">
        <v>0</v>
      </c>
      <c r="CH38" s="22">
        <f t="shared" si="36"/>
        <v>8</v>
      </c>
      <c r="CI38" s="23" t="str">
        <f>IF(SUMPRODUCT($J$62:CH$62,$J38:CH38)&lt;0.5, "Pending", IF(CH38&lt;0.5, "Complete", "In Progress"))</f>
        <v>Pending</v>
      </c>
      <c r="CJ38" s="22">
        <v>0</v>
      </c>
      <c r="CK38" s="22">
        <f t="shared" si="37"/>
        <v>8</v>
      </c>
      <c r="CL38" s="23" t="str">
        <f>IF(SUMPRODUCT($J$62:CK$62,$J38:CK38)&lt;0.5, "Pending", IF(CK38&lt;0.5, "Complete", "In Progress"))</f>
        <v>Pending</v>
      </c>
      <c r="CM38" s="22">
        <v>0</v>
      </c>
      <c r="CN38" s="22">
        <f t="shared" si="38"/>
        <v>8</v>
      </c>
      <c r="CO38" s="23" t="str">
        <f>IF(SUMPRODUCT($J$62:CN$62,$J38:CN38)&lt;0.5, "Pending", IF(CN38&lt;0.5, "Complete", "In Progress"))</f>
        <v>Pending</v>
      </c>
      <c r="CP38" s="22">
        <v>0</v>
      </c>
      <c r="CQ38" s="22">
        <f t="shared" si="39"/>
        <v>8</v>
      </c>
      <c r="CR38" s="23" t="str">
        <f>IF(SUMPRODUCT($J$62:CQ$62,$J38:CQ38)&lt;0.5, "Pending", IF(CQ38&lt;0.5, "Complete", "In Progress"))</f>
        <v>Pending</v>
      </c>
      <c r="CS38" s="22">
        <v>0</v>
      </c>
      <c r="CT38" s="22">
        <f t="shared" si="40"/>
        <v>8</v>
      </c>
      <c r="CU38" s="23" t="str">
        <f>IF(SUMPRODUCT($J$62:CT$62,$J38:CT38)&lt;0.5, "Pending", IF(CT38&lt;0.5, "Complete", "In Progress"))</f>
        <v>Pending</v>
      </c>
      <c r="CV38" s="22">
        <v>0</v>
      </c>
      <c r="CW38" s="22">
        <f t="shared" si="41"/>
        <v>8</v>
      </c>
      <c r="CX38" s="23" t="str">
        <f>IF(SUMPRODUCT($J$62:CW$62,$J38:CW38)&lt;0.5, "Pending", IF(CW38&lt;0.5, "Complete", "In Progress"))</f>
        <v>Pending</v>
      </c>
      <c r="CY38" s="22">
        <v>0</v>
      </c>
      <c r="CZ38" s="22">
        <f t="shared" si="42"/>
        <v>8</v>
      </c>
      <c r="DA38" s="23" t="str">
        <f>IF(SUMPRODUCT($J$62:CZ$62,$J38:CZ38)&lt;0.5, "Pending", IF(CZ38&lt;0.5, "Complete", "In Progress"))</f>
        <v>Pending</v>
      </c>
      <c r="DB38" s="22">
        <v>0</v>
      </c>
      <c r="DC38" s="22">
        <f t="shared" si="43"/>
        <v>8</v>
      </c>
      <c r="DD38" s="23" t="str">
        <f>IF(SUMPRODUCT($J$62:DC$62,$J38:DC38)&lt;0.5, "Pending", IF(DC38&lt;0.5, "Complete", "In Progress"))</f>
        <v>Pending</v>
      </c>
      <c r="DE38" s="22">
        <v>0</v>
      </c>
      <c r="DF38" s="22">
        <f t="shared" si="44"/>
        <v>8</v>
      </c>
      <c r="DG38" s="23" t="str">
        <f>IF(SUMPRODUCT($J$62:DF$62,$J38:DF38)&lt;0.5, "Pending", IF(DF38&lt;0.5, "Complete", "In Progress"))</f>
        <v>Pending</v>
      </c>
      <c r="DH38" s="22">
        <v>0</v>
      </c>
      <c r="DI38" s="22">
        <f t="shared" si="45"/>
        <v>8</v>
      </c>
      <c r="DJ38" s="23" t="str">
        <f>IF(SUMPRODUCT($J$62:DI$62,$J38:DI38)&lt;0.5, "Pending", IF(DI38&lt;0.5, "Complete", "In Progress"))</f>
        <v>Pending</v>
      </c>
      <c r="DK38" s="22">
        <v>0</v>
      </c>
      <c r="DL38" s="22">
        <f t="shared" si="46"/>
        <v>8</v>
      </c>
      <c r="DM38" s="23" t="str">
        <f>IF(SUMPRODUCT($J$62:DL$62,$J38:DL38)&lt;0.5, "Pending", IF(DL38&lt;0.5, "Complete", "In Progress"))</f>
        <v>Pending</v>
      </c>
      <c r="DN38" s="22">
        <v>0</v>
      </c>
      <c r="DO38" s="22">
        <f t="shared" si="47"/>
        <v>8</v>
      </c>
      <c r="DP38" s="23" t="str">
        <f>IF(SUMPRODUCT($J$62:DO$62,$J38:DO38)&lt;0.5, "Pending", IF(DO38&lt;0.5, "Complete", "In Progress"))</f>
        <v>Pending</v>
      </c>
      <c r="DQ38" s="22">
        <v>0</v>
      </c>
      <c r="DR38" s="22">
        <f t="shared" si="48"/>
        <v>8</v>
      </c>
      <c r="DS38" s="23" t="str">
        <f>IF(SUMPRODUCT($J$62:DR$62,$J38:DR38)&lt;0.5, "Pending", IF(DR38&lt;0.5, "Complete", "In Progress"))</f>
        <v>Pending</v>
      </c>
      <c r="DT38" s="22">
        <v>0</v>
      </c>
      <c r="DU38" s="22">
        <f t="shared" si="49"/>
        <v>8</v>
      </c>
      <c r="DV38" s="23" t="str">
        <f>IF(SUMPRODUCT($J$62:DU$62,$J38:DU38)&lt;0.5, "Pending", IF(DU38&lt;0.5, "Complete", "In Progress"))</f>
        <v>Pending</v>
      </c>
      <c r="DW38" s="22">
        <v>0</v>
      </c>
      <c r="DX38" s="22">
        <f t="shared" si="50"/>
        <v>8</v>
      </c>
      <c r="DY38" s="23" t="str">
        <f>IF(SUMPRODUCT($J$62:DX$62,$J38:DX38)&lt;0.5, "Pending", IF(DX38&lt;0.5, "Complete", "In Progress"))</f>
        <v>Pending</v>
      </c>
      <c r="DZ38" s="24"/>
      <c r="EA38" s="25">
        <f>SUMPRODUCT($H$62:DG$62,$H38:DG38)</f>
        <v>0</v>
      </c>
    </row>
    <row r="39" spans="1:131" x14ac:dyDescent="0.25">
      <c r="A39" s="16" t="s">
        <v>151</v>
      </c>
      <c r="B39" s="16" t="s">
        <v>152</v>
      </c>
      <c r="C39" s="16" t="s">
        <v>121</v>
      </c>
      <c r="D39" s="17">
        <v>9</v>
      </c>
      <c r="E39" s="199" t="s">
        <v>153</v>
      </c>
      <c r="F39" s="18" t="s">
        <v>123</v>
      </c>
      <c r="G39" s="19" t="str">
        <f t="shared" ca="1" si="0"/>
        <v>Pending</v>
      </c>
      <c r="H39" s="20">
        <v>1</v>
      </c>
      <c r="I39" s="21">
        <v>8</v>
      </c>
      <c r="J39" s="22">
        <v>0</v>
      </c>
      <c r="K39" s="22">
        <f t="shared" ref="K39:K40" si="211">MAX(I39-J39, 0)</f>
        <v>8</v>
      </c>
      <c r="L39" s="23" t="str">
        <f>IF(SUMPRODUCT($J$62:K$62,$J39:K39)&lt;0.5, "Pending", IF(K39&lt;0.5, "Complete", "In Progress"))</f>
        <v>Pending</v>
      </c>
      <c r="M39" s="22">
        <v>0</v>
      </c>
      <c r="N39" s="22">
        <f t="shared" ref="N39:N40" si="212">MAX(K39-M39,0)</f>
        <v>8</v>
      </c>
      <c r="O39" s="23" t="str">
        <f>IF(SUMPRODUCT($J$62:N$62,$J39:N39)&lt;0.5, "Pending", IF(N39&lt;0.5, "Complete", "In Progress"))</f>
        <v>Pending</v>
      </c>
      <c r="P39" s="22">
        <v>0</v>
      </c>
      <c r="Q39" s="22">
        <f t="shared" ref="Q39:Q40" si="213">MAX(N39-P39,0)</f>
        <v>8</v>
      </c>
      <c r="R39" s="23" t="str">
        <f>IF(SUMPRODUCT($J$62:Q$62,$J39:Q39)&lt;0.5, "Pending", IF(Q39&lt;0.5, "Complete", "In Progress"))</f>
        <v>Pending</v>
      </c>
      <c r="S39" s="22">
        <v>0</v>
      </c>
      <c r="T39" s="22">
        <f t="shared" ref="T39:T40" si="214">MAX(Q39-S39,0)</f>
        <v>8</v>
      </c>
      <c r="U39" s="23" t="str">
        <f>IF(SUMPRODUCT($J$62:T$62,$J39:T39)&lt;0.5, "Pending", IF(T39&lt;0.5, "Complete", "In Progress"))</f>
        <v>Pending</v>
      </c>
      <c r="V39" s="22">
        <v>0</v>
      </c>
      <c r="W39" s="22">
        <f t="shared" ref="W39:W40" si="215">MAX(T39-V39,0)</f>
        <v>8</v>
      </c>
      <c r="X39" s="23" t="str">
        <f>IF(SUMPRODUCT($J$62:W$62,$J39:W39)&lt;0.5, "Pending", IF(W39&lt;0.5, "Complete", "In Progress"))</f>
        <v>Pending</v>
      </c>
      <c r="Y39" s="22">
        <v>0</v>
      </c>
      <c r="Z39" s="22">
        <f t="shared" ref="Z39:Z40" si="216">MAX(W39-Y39,0)</f>
        <v>8</v>
      </c>
      <c r="AA39" s="23" t="str">
        <f>IF(SUMPRODUCT($J$62:Z$62,$J39:Z39)&lt;0.5, "Pending", IF(Z39&lt;0.5, "Complete", "In Progress"))</f>
        <v>Pending</v>
      </c>
      <c r="AB39" s="22">
        <v>0</v>
      </c>
      <c r="AC39" s="22">
        <f t="shared" ref="AC39:AC40" si="217">MAX(Z39-AB39,0)</f>
        <v>8</v>
      </c>
      <c r="AD39" s="23" t="str">
        <f>IF(SUMPRODUCT($J$62:AC$62,$J39:AC39)&lt;0.5, "Pending", IF(AC39&lt;0.5, "Complete", "In Progress"))</f>
        <v>Pending</v>
      </c>
      <c r="AE39" s="22">
        <v>0</v>
      </c>
      <c r="AF39" s="22">
        <f t="shared" ref="AF39:AF40" si="218">MAX(AC39-AE39,0)</f>
        <v>8</v>
      </c>
      <c r="AG39" s="23" t="str">
        <f>IF(SUMPRODUCT($J$62:AF$62,$J39:AF39)&lt;0.5, "Pending", IF(AF39&lt;0.5, "Complete", "In Progress"))</f>
        <v>Pending</v>
      </c>
      <c r="AH39" s="22">
        <v>0</v>
      </c>
      <c r="AI39" s="22">
        <f t="shared" ref="AI39:AI40" si="219">MAX(AF39-AH39,0)</f>
        <v>8</v>
      </c>
      <c r="AJ39" s="23" t="str">
        <f>IF(SUMPRODUCT($J$62:AI$62,$J39:AI39)&lt;0.5, "Pending", IF(AI39&lt;0.5, "Complete", "In Progress"))</f>
        <v>Pending</v>
      </c>
      <c r="AK39" s="22">
        <v>0</v>
      </c>
      <c r="AL39" s="22">
        <f t="shared" ref="AL39:AL40" si="220">MAX(AI39-AK39,0)</f>
        <v>8</v>
      </c>
      <c r="AM39" s="23" t="str">
        <f>IF(SUMPRODUCT($J$62:AL$62,$J39:AL39)&lt;0.5, "Pending", IF(AL39&lt;0.5, "Complete", "In Progress"))</f>
        <v>Pending</v>
      </c>
      <c r="AN39" s="22">
        <v>0</v>
      </c>
      <c r="AO39" s="22">
        <f t="shared" ref="AO39:AO40" si="221">MAX(AL39-AN39,0)</f>
        <v>8</v>
      </c>
      <c r="AP39" s="23" t="str">
        <f>IF(SUMPRODUCT($J$62:AO$62,$J39:AO39)&lt;0.5, "Pending", IF(AO39&lt;0.5, "Complete", "In Progress"))</f>
        <v>Pending</v>
      </c>
      <c r="AQ39" s="22">
        <v>0</v>
      </c>
      <c r="AR39" s="22">
        <f t="shared" ref="AR39:AR40" si="222">MAX(AO39-AQ39,0)</f>
        <v>8</v>
      </c>
      <c r="AS39" s="23" t="str">
        <f>IF(SUMPRODUCT($J$62:AR$62,$J39:AR39)&lt;0.5, "Pending", IF(AR39&lt;0.5, "Complete", "In Progress"))</f>
        <v>Pending</v>
      </c>
      <c r="AT39" s="22">
        <v>0</v>
      </c>
      <c r="AU39" s="22">
        <f t="shared" ref="AU39:AU40" si="223">MAX(AR39-AT39,0)</f>
        <v>8</v>
      </c>
      <c r="AV39" s="23" t="str">
        <f>IF(SUMPRODUCT($J$62:AU$62,$J39:AU39)&lt;0.5, "Pending", IF(AU39&lt;0.5, "Complete", "In Progress"))</f>
        <v>Pending</v>
      </c>
      <c r="AW39" s="22">
        <v>0</v>
      </c>
      <c r="AX39" s="22">
        <f t="shared" ref="AX39:AX40" si="224">MAX(AU39-AW39,0)</f>
        <v>8</v>
      </c>
      <c r="AY39" s="23" t="str">
        <f>IF(SUMPRODUCT($J$62:AX$62,$J39:AX39)&lt;0.5, "Pending", IF(AX39&lt;0.5, "Complete", "In Progress"))</f>
        <v>Pending</v>
      </c>
      <c r="AZ39" s="22">
        <v>0</v>
      </c>
      <c r="BA39" s="22">
        <f t="shared" ref="BA39:BA40" si="225">MAX(AX39-AZ39,0)</f>
        <v>8</v>
      </c>
      <c r="BB39" s="23" t="str">
        <f>IF(SUMPRODUCT($J$62:BA$62,$J39:BA39)&lt;0.5, "Pending", IF(BA39&lt;0.5, "Complete", "In Progress"))</f>
        <v>Pending</v>
      </c>
      <c r="BC39" s="22">
        <v>0</v>
      </c>
      <c r="BD39" s="22">
        <f t="shared" ref="BD39:BD40" si="226">MAX(BA39-BC39,0)</f>
        <v>8</v>
      </c>
      <c r="BE39" s="23" t="str">
        <f>IF(SUMPRODUCT($J$62:BD$62,$J39:BD39)&lt;0.5, "Pending", IF(BD39&lt;0.5, "Complete", "In Progress"))</f>
        <v>Pending</v>
      </c>
      <c r="BF39" s="22">
        <v>0</v>
      </c>
      <c r="BG39" s="22">
        <f t="shared" ref="BG39:BG40" si="227">MAX(BD39-BF39,0)</f>
        <v>8</v>
      </c>
      <c r="BH39" s="23" t="str">
        <f>IF(SUMPRODUCT($J$62:BG$62,$J39:BG39)&lt;0.5, "Pending", IF(BG39&lt;0.5, "Complete", "In Progress"))</f>
        <v>Pending</v>
      </c>
      <c r="BI39" s="22">
        <v>0</v>
      </c>
      <c r="BJ39" s="22">
        <f t="shared" ref="BJ39:BJ40" si="228">MAX(BG39-BI39,0)</f>
        <v>8</v>
      </c>
      <c r="BK39" s="23" t="str">
        <f>IF(SUMPRODUCT($J$62:BJ$62,$J39:BJ39)&lt;0.5, "Pending", IF(BJ39&lt;0.5, "Complete", "In Progress"))</f>
        <v>Pending</v>
      </c>
      <c r="BL39" s="22">
        <v>0</v>
      </c>
      <c r="BM39" s="22">
        <f t="shared" ref="BM39:BM40" si="229">MAX(BJ39-BL39,0)</f>
        <v>8</v>
      </c>
      <c r="BN39" s="23" t="str">
        <f>IF(SUMPRODUCT($J$62:BM$62,$J39:BM39)&lt;0.5, "Pending", IF(BM39&lt;0.5, "Complete", "In Progress"))</f>
        <v>Pending</v>
      </c>
      <c r="BO39" s="22">
        <v>0</v>
      </c>
      <c r="BP39" s="22">
        <f t="shared" ref="BP39:BP40" si="230">MAX(BM39-BO39,0)</f>
        <v>8</v>
      </c>
      <c r="BQ39" s="23" t="str">
        <f>IF(SUMPRODUCT($J$62:BP$62,$J39:BP39)&lt;0.5, "Pending", IF(BP39&lt;0.5, "Complete", "In Progress"))</f>
        <v>Pending</v>
      </c>
      <c r="BR39" s="22">
        <v>0</v>
      </c>
      <c r="BS39" s="22">
        <f t="shared" ref="BS39:BS40" si="231">MAX(BP39-BR39,0)</f>
        <v>8</v>
      </c>
      <c r="BT39" s="23" t="str">
        <f>IF(SUMPRODUCT($J$62:BS$62,$J39:BS39)&lt;0.5, "Pending", IF(BS39&lt;0.5, "Complete", "In Progress"))</f>
        <v>Pending</v>
      </c>
      <c r="BU39" s="22">
        <v>0</v>
      </c>
      <c r="BV39" s="22">
        <f t="shared" ref="BV39:BV40" si="232">MAX(BS39-BU39,0)</f>
        <v>8</v>
      </c>
      <c r="BW39" s="23" t="str">
        <f>IF(SUMPRODUCT($J$62:BV$62,$J39:BV39)&lt;0.5, "Pending", IF(BV39&lt;0.5, "Complete", "In Progress"))</f>
        <v>Pending</v>
      </c>
      <c r="BX39" s="22">
        <v>0</v>
      </c>
      <c r="BY39" s="22">
        <f t="shared" ref="BY39:BY40" si="233">MAX(BV39-BX39,0)</f>
        <v>8</v>
      </c>
      <c r="BZ39" s="23" t="str">
        <f>IF(SUMPRODUCT($J$62:BY$62,$J39:BY39)&lt;0.5, "Pending", IF(BY39&lt;0.5, "Complete", "In Progress"))</f>
        <v>Pending</v>
      </c>
      <c r="CA39" s="22">
        <v>0</v>
      </c>
      <c r="CB39" s="22">
        <f t="shared" ref="CB39:CB40" si="234">MAX(BY39-CA39,0)</f>
        <v>8</v>
      </c>
      <c r="CC39" s="23" t="str">
        <f>IF(SUMPRODUCT($J$62:CB$62,$J39:CB39)&lt;0.5, "Pending", IF(CB39&lt;0.5, "Complete", "In Progress"))</f>
        <v>Pending</v>
      </c>
      <c r="CD39" s="22">
        <v>0</v>
      </c>
      <c r="CE39" s="22">
        <f t="shared" ref="CE39:CE40" si="235">MAX(CB39-CD39,0)</f>
        <v>8</v>
      </c>
      <c r="CF39" s="23" t="str">
        <f>IF(SUMPRODUCT($J$62:CE$62,$J39:CE39)&lt;0.5, "Pending", IF(CE39&lt;0.5, "Complete", "In Progress"))</f>
        <v>Pending</v>
      </c>
      <c r="CG39" s="22">
        <v>0</v>
      </c>
      <c r="CH39" s="22">
        <f t="shared" ref="CH39:CH40" si="236">MAX(CE39-CG39,0)</f>
        <v>8</v>
      </c>
      <c r="CI39" s="23" t="str">
        <f>IF(SUMPRODUCT($J$62:CH$62,$J39:CH39)&lt;0.5, "Pending", IF(CH39&lt;0.5, "Complete", "In Progress"))</f>
        <v>Pending</v>
      </c>
      <c r="CJ39" s="22">
        <v>0</v>
      </c>
      <c r="CK39" s="22">
        <f t="shared" ref="CK39:CK40" si="237">MAX(CH39-CJ39,0)</f>
        <v>8</v>
      </c>
      <c r="CL39" s="23" t="str">
        <f>IF(SUMPRODUCT($J$62:CK$62,$J39:CK39)&lt;0.5, "Pending", IF(CK39&lt;0.5, "Complete", "In Progress"))</f>
        <v>Pending</v>
      </c>
      <c r="CM39" s="22">
        <v>0</v>
      </c>
      <c r="CN39" s="22">
        <f t="shared" ref="CN39:CN40" si="238">MAX(CK39-CM39,0)</f>
        <v>8</v>
      </c>
      <c r="CO39" s="23" t="str">
        <f>IF(SUMPRODUCT($J$62:CN$62,$J39:CN39)&lt;0.5, "Pending", IF(CN39&lt;0.5, "Complete", "In Progress"))</f>
        <v>Pending</v>
      </c>
      <c r="CP39" s="22">
        <v>0</v>
      </c>
      <c r="CQ39" s="22">
        <f t="shared" ref="CQ39:CQ40" si="239">MAX(CN39-CP39,0)</f>
        <v>8</v>
      </c>
      <c r="CR39" s="23" t="str">
        <f>IF(SUMPRODUCT($J$62:CQ$62,$J39:CQ39)&lt;0.5, "Pending", IF(CQ39&lt;0.5, "Complete", "In Progress"))</f>
        <v>Pending</v>
      </c>
      <c r="CS39" s="22">
        <v>0</v>
      </c>
      <c r="CT39" s="22">
        <f t="shared" ref="CT39:CT40" si="240">MAX(CQ39-CS39,0)</f>
        <v>8</v>
      </c>
      <c r="CU39" s="23" t="str">
        <f>IF(SUMPRODUCT($J$62:CT$62,$J39:CT39)&lt;0.5, "Pending", IF(CT39&lt;0.5, "Complete", "In Progress"))</f>
        <v>Pending</v>
      </c>
      <c r="CV39" s="22">
        <v>0</v>
      </c>
      <c r="CW39" s="22">
        <f t="shared" ref="CW39:CW40" si="241">MAX(CT39-CV39,0)</f>
        <v>8</v>
      </c>
      <c r="CX39" s="23" t="str">
        <f>IF(SUMPRODUCT($J$62:CW$62,$J39:CW39)&lt;0.5, "Pending", IF(CW39&lt;0.5, "Complete", "In Progress"))</f>
        <v>Pending</v>
      </c>
      <c r="CY39" s="22">
        <v>0</v>
      </c>
      <c r="CZ39" s="22">
        <f t="shared" ref="CZ39:CZ40" si="242">MAX(CW39-CY39,0)</f>
        <v>8</v>
      </c>
      <c r="DA39" s="23" t="str">
        <f>IF(SUMPRODUCT($J$62:CZ$62,$J39:CZ39)&lt;0.5, "Pending", IF(CZ39&lt;0.5, "Complete", "In Progress"))</f>
        <v>Pending</v>
      </c>
      <c r="DB39" s="22">
        <v>0</v>
      </c>
      <c r="DC39" s="22">
        <f t="shared" ref="DC39:DC40" si="243">MAX(CZ39-DB39,0)</f>
        <v>8</v>
      </c>
      <c r="DD39" s="23" t="str">
        <f>IF(SUMPRODUCT($J$62:DC$62,$J39:DC39)&lt;0.5, "Pending", IF(DC39&lt;0.5, "Complete", "In Progress"))</f>
        <v>Pending</v>
      </c>
      <c r="DE39" s="22">
        <v>0</v>
      </c>
      <c r="DF39" s="22">
        <f t="shared" ref="DF39:DF40" si="244">MAX(DC39-DE39,0)</f>
        <v>8</v>
      </c>
      <c r="DG39" s="23" t="str">
        <f>IF(SUMPRODUCT($J$62:DF$62,$J39:DF39)&lt;0.5, "Pending", IF(DF39&lt;0.5, "Complete", "In Progress"))</f>
        <v>Pending</v>
      </c>
      <c r="DH39" s="22">
        <v>0</v>
      </c>
      <c r="DI39" s="22">
        <f t="shared" ref="DI39:DI40" si="245">MAX(DF39-DH39,0)</f>
        <v>8</v>
      </c>
      <c r="DJ39" s="23" t="str">
        <f>IF(SUMPRODUCT($J$62:DI$62,$J39:DI39)&lt;0.5, "Pending", IF(DI39&lt;0.5, "Complete", "In Progress"))</f>
        <v>Pending</v>
      </c>
      <c r="DK39" s="22">
        <v>0</v>
      </c>
      <c r="DL39" s="22">
        <f t="shared" ref="DL39:DL40" si="246">MAX(DI39-DK39,0)</f>
        <v>8</v>
      </c>
      <c r="DM39" s="23" t="str">
        <f>IF(SUMPRODUCT($J$62:DL$62,$J39:DL39)&lt;0.5, "Pending", IF(DL39&lt;0.5, "Complete", "In Progress"))</f>
        <v>Pending</v>
      </c>
      <c r="DN39" s="22">
        <v>0</v>
      </c>
      <c r="DO39" s="22">
        <f t="shared" ref="DO39:DO40" si="247">MAX(DL39-DN39,0)</f>
        <v>8</v>
      </c>
      <c r="DP39" s="23" t="str">
        <f>IF(SUMPRODUCT($J$62:DO$62,$J39:DO39)&lt;0.5, "Pending", IF(DO39&lt;0.5, "Complete", "In Progress"))</f>
        <v>Pending</v>
      </c>
      <c r="DQ39" s="22">
        <v>0</v>
      </c>
      <c r="DR39" s="22">
        <f t="shared" ref="DR39:DR40" si="248">MAX(DO39-DQ39,0)</f>
        <v>8</v>
      </c>
      <c r="DS39" s="23" t="str">
        <f>IF(SUMPRODUCT($J$62:DR$62,$J39:DR39)&lt;0.5, "Pending", IF(DR39&lt;0.5, "Complete", "In Progress"))</f>
        <v>Pending</v>
      </c>
      <c r="DT39" s="22">
        <v>0</v>
      </c>
      <c r="DU39" s="22">
        <f t="shared" ref="DU39:DU40" si="249">MAX(DR39-DT39,0)</f>
        <v>8</v>
      </c>
      <c r="DV39" s="23" t="str">
        <f>IF(SUMPRODUCT($J$62:DU$62,$J39:DU39)&lt;0.5, "Pending", IF(DU39&lt;0.5, "Complete", "In Progress"))</f>
        <v>Pending</v>
      </c>
      <c r="DW39" s="22">
        <v>0</v>
      </c>
      <c r="DX39" s="22">
        <f t="shared" ref="DX39:DX40" si="250">MAX(DU39-DW39,0)</f>
        <v>8</v>
      </c>
      <c r="DY39" s="23" t="str">
        <f>IF(SUMPRODUCT($J$62:DX$62,$J39:DX39)&lt;0.5, "Pending", IF(DX39&lt;0.5, "Complete", "In Progress"))</f>
        <v>Pending</v>
      </c>
      <c r="DZ39" s="24"/>
      <c r="EA39" s="25">
        <f>SUMPRODUCT($H$62:DG$62,$H39:DG39)</f>
        <v>0</v>
      </c>
    </row>
    <row r="40" spans="1:131" x14ac:dyDescent="0.25">
      <c r="A40" s="16" t="s">
        <v>119</v>
      </c>
      <c r="B40" s="16" t="s">
        <v>152</v>
      </c>
      <c r="C40" s="16" t="s">
        <v>121</v>
      </c>
      <c r="D40" s="17">
        <v>10</v>
      </c>
      <c r="E40" s="199" t="s">
        <v>154</v>
      </c>
      <c r="F40" s="18" t="s">
        <v>134</v>
      </c>
      <c r="G40" s="19" t="str">
        <f t="shared" ca="1" si="0"/>
        <v>Pending</v>
      </c>
      <c r="H40" s="20">
        <v>1</v>
      </c>
      <c r="I40" s="21">
        <v>8</v>
      </c>
      <c r="J40" s="22">
        <v>0</v>
      </c>
      <c r="K40" s="22">
        <f t="shared" si="211"/>
        <v>8</v>
      </c>
      <c r="L40" s="23" t="str">
        <f>IF(SUMPRODUCT($J$62:K$62,$J40:K40)&lt;0.5, "Pending", IF(K40&lt;0.5, "Complete", "In Progress"))</f>
        <v>Pending</v>
      </c>
      <c r="M40" s="22">
        <v>0</v>
      </c>
      <c r="N40" s="22">
        <f t="shared" si="212"/>
        <v>8</v>
      </c>
      <c r="O40" s="23" t="str">
        <f>IF(SUMPRODUCT($J$62:N$62,$J40:N40)&lt;0.5, "Pending", IF(N40&lt;0.5, "Complete", "In Progress"))</f>
        <v>Pending</v>
      </c>
      <c r="P40" s="22">
        <v>0</v>
      </c>
      <c r="Q40" s="22">
        <f t="shared" si="213"/>
        <v>8</v>
      </c>
      <c r="R40" s="23" t="str">
        <f>IF(SUMPRODUCT($J$62:Q$62,$J40:Q40)&lt;0.5, "Pending", IF(Q40&lt;0.5, "Complete", "In Progress"))</f>
        <v>Pending</v>
      </c>
      <c r="S40" s="22">
        <v>0</v>
      </c>
      <c r="T40" s="22">
        <f t="shared" si="214"/>
        <v>8</v>
      </c>
      <c r="U40" s="23" t="str">
        <f>IF(SUMPRODUCT($J$62:T$62,$J40:T40)&lt;0.5, "Pending", IF(T40&lt;0.5, "Complete", "In Progress"))</f>
        <v>Pending</v>
      </c>
      <c r="V40" s="22">
        <v>0</v>
      </c>
      <c r="W40" s="22">
        <f t="shared" si="215"/>
        <v>8</v>
      </c>
      <c r="X40" s="23" t="str">
        <f>IF(SUMPRODUCT($J$62:W$62,$J40:W40)&lt;0.5, "Pending", IF(W40&lt;0.5, "Complete", "In Progress"))</f>
        <v>Pending</v>
      </c>
      <c r="Y40" s="22">
        <v>0</v>
      </c>
      <c r="Z40" s="22">
        <f t="shared" si="216"/>
        <v>8</v>
      </c>
      <c r="AA40" s="23" t="str">
        <f>IF(SUMPRODUCT($J$62:Z$62,$J40:Z40)&lt;0.5, "Pending", IF(Z40&lt;0.5, "Complete", "In Progress"))</f>
        <v>Pending</v>
      </c>
      <c r="AB40" s="22">
        <v>0</v>
      </c>
      <c r="AC40" s="22">
        <f t="shared" si="217"/>
        <v>8</v>
      </c>
      <c r="AD40" s="23" t="str">
        <f>IF(SUMPRODUCT($J$62:AC$62,$J40:AC40)&lt;0.5, "Pending", IF(AC40&lt;0.5, "Complete", "In Progress"))</f>
        <v>Pending</v>
      </c>
      <c r="AE40" s="22">
        <v>0</v>
      </c>
      <c r="AF40" s="22">
        <f t="shared" si="218"/>
        <v>8</v>
      </c>
      <c r="AG40" s="23" t="str">
        <f>IF(SUMPRODUCT($J$62:AF$62,$J40:AF40)&lt;0.5, "Pending", IF(AF40&lt;0.5, "Complete", "In Progress"))</f>
        <v>Pending</v>
      </c>
      <c r="AH40" s="22">
        <v>0</v>
      </c>
      <c r="AI40" s="22">
        <f t="shared" si="219"/>
        <v>8</v>
      </c>
      <c r="AJ40" s="23" t="str">
        <f>IF(SUMPRODUCT($J$62:AI$62,$J40:AI40)&lt;0.5, "Pending", IF(AI40&lt;0.5, "Complete", "In Progress"))</f>
        <v>Pending</v>
      </c>
      <c r="AK40" s="22">
        <v>0</v>
      </c>
      <c r="AL40" s="22">
        <f t="shared" si="220"/>
        <v>8</v>
      </c>
      <c r="AM40" s="23" t="str">
        <f>IF(SUMPRODUCT($J$62:AL$62,$J40:AL40)&lt;0.5, "Pending", IF(AL40&lt;0.5, "Complete", "In Progress"))</f>
        <v>Pending</v>
      </c>
      <c r="AN40" s="22">
        <v>0</v>
      </c>
      <c r="AO40" s="22">
        <f t="shared" si="221"/>
        <v>8</v>
      </c>
      <c r="AP40" s="23" t="str">
        <f>IF(SUMPRODUCT($J$62:AO$62,$J40:AO40)&lt;0.5, "Pending", IF(AO40&lt;0.5, "Complete", "In Progress"))</f>
        <v>Pending</v>
      </c>
      <c r="AQ40" s="22">
        <v>0</v>
      </c>
      <c r="AR40" s="22">
        <f t="shared" si="222"/>
        <v>8</v>
      </c>
      <c r="AS40" s="23" t="str">
        <f>IF(SUMPRODUCT($J$62:AR$62,$J40:AR40)&lt;0.5, "Pending", IF(AR40&lt;0.5, "Complete", "In Progress"))</f>
        <v>Pending</v>
      </c>
      <c r="AT40" s="22">
        <v>0</v>
      </c>
      <c r="AU40" s="22">
        <f t="shared" si="223"/>
        <v>8</v>
      </c>
      <c r="AV40" s="23" t="str">
        <f>IF(SUMPRODUCT($J$62:AU$62,$J40:AU40)&lt;0.5, "Pending", IF(AU40&lt;0.5, "Complete", "In Progress"))</f>
        <v>Pending</v>
      </c>
      <c r="AW40" s="22">
        <v>0</v>
      </c>
      <c r="AX40" s="22">
        <f t="shared" si="224"/>
        <v>8</v>
      </c>
      <c r="AY40" s="23" t="str">
        <f>IF(SUMPRODUCT($J$62:AX$62,$J40:AX40)&lt;0.5, "Pending", IF(AX40&lt;0.5, "Complete", "In Progress"))</f>
        <v>Pending</v>
      </c>
      <c r="AZ40" s="22">
        <v>0</v>
      </c>
      <c r="BA40" s="22">
        <f t="shared" si="225"/>
        <v>8</v>
      </c>
      <c r="BB40" s="23" t="str">
        <f>IF(SUMPRODUCT($J$62:BA$62,$J40:BA40)&lt;0.5, "Pending", IF(BA40&lt;0.5, "Complete", "In Progress"))</f>
        <v>Pending</v>
      </c>
      <c r="BC40" s="22">
        <v>0</v>
      </c>
      <c r="BD40" s="22">
        <f t="shared" si="226"/>
        <v>8</v>
      </c>
      <c r="BE40" s="23" t="str">
        <f>IF(SUMPRODUCT($J$62:BD$62,$J40:BD40)&lt;0.5, "Pending", IF(BD40&lt;0.5, "Complete", "In Progress"))</f>
        <v>Pending</v>
      </c>
      <c r="BF40" s="22">
        <v>0</v>
      </c>
      <c r="BG40" s="22">
        <f t="shared" si="227"/>
        <v>8</v>
      </c>
      <c r="BH40" s="23" t="str">
        <f>IF(SUMPRODUCT($J$62:BG$62,$J40:BG40)&lt;0.5, "Pending", IF(BG40&lt;0.5, "Complete", "In Progress"))</f>
        <v>Pending</v>
      </c>
      <c r="BI40" s="22">
        <v>0</v>
      </c>
      <c r="BJ40" s="22">
        <f t="shared" si="228"/>
        <v>8</v>
      </c>
      <c r="BK40" s="23" t="str">
        <f>IF(SUMPRODUCT($J$62:BJ$62,$J40:BJ40)&lt;0.5, "Pending", IF(BJ40&lt;0.5, "Complete", "In Progress"))</f>
        <v>Pending</v>
      </c>
      <c r="BL40" s="22">
        <v>0</v>
      </c>
      <c r="BM40" s="22">
        <f t="shared" si="229"/>
        <v>8</v>
      </c>
      <c r="BN40" s="23" t="str">
        <f>IF(SUMPRODUCT($J$62:BM$62,$J40:BM40)&lt;0.5, "Pending", IF(BM40&lt;0.5, "Complete", "In Progress"))</f>
        <v>Pending</v>
      </c>
      <c r="BO40" s="22">
        <v>0</v>
      </c>
      <c r="BP40" s="22">
        <f t="shared" si="230"/>
        <v>8</v>
      </c>
      <c r="BQ40" s="23" t="str">
        <f>IF(SUMPRODUCT($J$62:BP$62,$J40:BP40)&lt;0.5, "Pending", IF(BP40&lt;0.5, "Complete", "In Progress"))</f>
        <v>Pending</v>
      </c>
      <c r="BR40" s="22">
        <v>0</v>
      </c>
      <c r="BS40" s="22">
        <f t="shared" si="231"/>
        <v>8</v>
      </c>
      <c r="BT40" s="23" t="str">
        <f>IF(SUMPRODUCT($J$62:BS$62,$J40:BS40)&lt;0.5, "Pending", IF(BS40&lt;0.5, "Complete", "In Progress"))</f>
        <v>Pending</v>
      </c>
      <c r="BU40" s="22">
        <v>0</v>
      </c>
      <c r="BV40" s="22">
        <f t="shared" si="232"/>
        <v>8</v>
      </c>
      <c r="BW40" s="23" t="str">
        <f>IF(SUMPRODUCT($J$62:BV$62,$J40:BV40)&lt;0.5, "Pending", IF(BV40&lt;0.5, "Complete", "In Progress"))</f>
        <v>Pending</v>
      </c>
      <c r="BX40" s="22">
        <v>0</v>
      </c>
      <c r="BY40" s="22">
        <f t="shared" si="233"/>
        <v>8</v>
      </c>
      <c r="BZ40" s="23" t="str">
        <f>IF(SUMPRODUCT($J$62:BY$62,$J40:BY40)&lt;0.5, "Pending", IF(BY40&lt;0.5, "Complete", "In Progress"))</f>
        <v>Pending</v>
      </c>
      <c r="CA40" s="22">
        <v>0</v>
      </c>
      <c r="CB40" s="22">
        <f t="shared" si="234"/>
        <v>8</v>
      </c>
      <c r="CC40" s="23" t="str">
        <f>IF(SUMPRODUCT($J$62:CB$62,$J40:CB40)&lt;0.5, "Pending", IF(CB40&lt;0.5, "Complete", "In Progress"))</f>
        <v>Pending</v>
      </c>
      <c r="CD40" s="22">
        <v>0</v>
      </c>
      <c r="CE40" s="22">
        <f t="shared" si="235"/>
        <v>8</v>
      </c>
      <c r="CF40" s="23" t="str">
        <f>IF(SUMPRODUCT($J$62:CE$62,$J40:CE40)&lt;0.5, "Pending", IF(CE40&lt;0.5, "Complete", "In Progress"))</f>
        <v>Pending</v>
      </c>
      <c r="CG40" s="22">
        <v>0</v>
      </c>
      <c r="CH40" s="22">
        <f t="shared" si="236"/>
        <v>8</v>
      </c>
      <c r="CI40" s="23" t="str">
        <f>IF(SUMPRODUCT($J$62:CH$62,$J40:CH40)&lt;0.5, "Pending", IF(CH40&lt;0.5, "Complete", "In Progress"))</f>
        <v>Pending</v>
      </c>
      <c r="CJ40" s="22">
        <v>0</v>
      </c>
      <c r="CK40" s="22">
        <f t="shared" si="237"/>
        <v>8</v>
      </c>
      <c r="CL40" s="23" t="str">
        <f>IF(SUMPRODUCT($J$62:CK$62,$J40:CK40)&lt;0.5, "Pending", IF(CK40&lt;0.5, "Complete", "In Progress"))</f>
        <v>Pending</v>
      </c>
      <c r="CM40" s="22">
        <v>0</v>
      </c>
      <c r="CN40" s="22">
        <f t="shared" si="238"/>
        <v>8</v>
      </c>
      <c r="CO40" s="23" t="str">
        <f>IF(SUMPRODUCT($J$62:CN$62,$J40:CN40)&lt;0.5, "Pending", IF(CN40&lt;0.5, "Complete", "In Progress"))</f>
        <v>Pending</v>
      </c>
      <c r="CP40" s="22">
        <v>0</v>
      </c>
      <c r="CQ40" s="22">
        <f t="shared" si="239"/>
        <v>8</v>
      </c>
      <c r="CR40" s="23" t="str">
        <f>IF(SUMPRODUCT($J$62:CQ$62,$J40:CQ40)&lt;0.5, "Pending", IF(CQ40&lt;0.5, "Complete", "In Progress"))</f>
        <v>Pending</v>
      </c>
      <c r="CS40" s="22">
        <v>0</v>
      </c>
      <c r="CT40" s="22">
        <f t="shared" si="240"/>
        <v>8</v>
      </c>
      <c r="CU40" s="23" t="str">
        <f>IF(SUMPRODUCT($J$62:CT$62,$J40:CT40)&lt;0.5, "Pending", IF(CT40&lt;0.5, "Complete", "In Progress"))</f>
        <v>Pending</v>
      </c>
      <c r="CV40" s="22">
        <v>0</v>
      </c>
      <c r="CW40" s="22">
        <f t="shared" si="241"/>
        <v>8</v>
      </c>
      <c r="CX40" s="23" t="str">
        <f>IF(SUMPRODUCT($J$62:CW$62,$J40:CW40)&lt;0.5, "Pending", IF(CW40&lt;0.5, "Complete", "In Progress"))</f>
        <v>Pending</v>
      </c>
      <c r="CY40" s="22">
        <v>0</v>
      </c>
      <c r="CZ40" s="22">
        <f t="shared" si="242"/>
        <v>8</v>
      </c>
      <c r="DA40" s="23" t="str">
        <f>IF(SUMPRODUCT($J$62:CZ$62,$J40:CZ40)&lt;0.5, "Pending", IF(CZ40&lt;0.5, "Complete", "In Progress"))</f>
        <v>Pending</v>
      </c>
      <c r="DB40" s="22">
        <v>0</v>
      </c>
      <c r="DC40" s="22">
        <f t="shared" si="243"/>
        <v>8</v>
      </c>
      <c r="DD40" s="23" t="str">
        <f>IF(SUMPRODUCT($J$62:DC$62,$J40:DC40)&lt;0.5, "Pending", IF(DC40&lt;0.5, "Complete", "In Progress"))</f>
        <v>Pending</v>
      </c>
      <c r="DE40" s="22">
        <v>0</v>
      </c>
      <c r="DF40" s="22">
        <f t="shared" si="244"/>
        <v>8</v>
      </c>
      <c r="DG40" s="23" t="str">
        <f>IF(SUMPRODUCT($J$62:DF$62,$J40:DF40)&lt;0.5, "Pending", IF(DF40&lt;0.5, "Complete", "In Progress"))</f>
        <v>Pending</v>
      </c>
      <c r="DH40" s="22">
        <v>0</v>
      </c>
      <c r="DI40" s="22">
        <f t="shared" si="245"/>
        <v>8</v>
      </c>
      <c r="DJ40" s="23" t="str">
        <f>IF(SUMPRODUCT($J$62:DI$62,$J40:DI40)&lt;0.5, "Pending", IF(DI40&lt;0.5, "Complete", "In Progress"))</f>
        <v>Pending</v>
      </c>
      <c r="DK40" s="22">
        <v>0</v>
      </c>
      <c r="DL40" s="22">
        <f t="shared" si="246"/>
        <v>8</v>
      </c>
      <c r="DM40" s="23" t="str">
        <f>IF(SUMPRODUCT($J$62:DL$62,$J40:DL40)&lt;0.5, "Pending", IF(DL40&lt;0.5, "Complete", "In Progress"))</f>
        <v>Pending</v>
      </c>
      <c r="DN40" s="22">
        <v>0</v>
      </c>
      <c r="DO40" s="22">
        <f t="shared" si="247"/>
        <v>8</v>
      </c>
      <c r="DP40" s="23" t="str">
        <f>IF(SUMPRODUCT($J$62:DO$62,$J40:DO40)&lt;0.5, "Pending", IF(DO40&lt;0.5, "Complete", "In Progress"))</f>
        <v>Pending</v>
      </c>
      <c r="DQ40" s="22">
        <v>0</v>
      </c>
      <c r="DR40" s="22">
        <f t="shared" si="248"/>
        <v>8</v>
      </c>
      <c r="DS40" s="23" t="str">
        <f>IF(SUMPRODUCT($J$62:DR$62,$J40:DR40)&lt;0.5, "Pending", IF(DR40&lt;0.5, "Complete", "In Progress"))</f>
        <v>Pending</v>
      </c>
      <c r="DT40" s="22">
        <v>0</v>
      </c>
      <c r="DU40" s="22">
        <f t="shared" si="249"/>
        <v>8</v>
      </c>
      <c r="DV40" s="23" t="str">
        <f>IF(SUMPRODUCT($J$62:DU$62,$J40:DU40)&lt;0.5, "Pending", IF(DU40&lt;0.5, "Complete", "In Progress"))</f>
        <v>Pending</v>
      </c>
      <c r="DW40" s="22">
        <v>0</v>
      </c>
      <c r="DX40" s="22">
        <f t="shared" si="250"/>
        <v>8</v>
      </c>
      <c r="DY40" s="23" t="str">
        <f>IF(SUMPRODUCT($J$62:DX$62,$J40:DX40)&lt;0.5, "Pending", IF(DX40&lt;0.5, "Complete", "In Progress"))</f>
        <v>Pending</v>
      </c>
      <c r="DZ40" s="24"/>
      <c r="EA40" s="25">
        <f>SUMPRODUCT($H$62:DG$62,$H40:DG40)</f>
        <v>0</v>
      </c>
    </row>
    <row r="41" spans="1:131" x14ac:dyDescent="0.25">
      <c r="A41" s="16" t="s">
        <v>119</v>
      </c>
      <c r="B41" s="16" t="s">
        <v>152</v>
      </c>
      <c r="C41" s="16" t="s">
        <v>121</v>
      </c>
      <c r="D41" s="17">
        <v>11</v>
      </c>
      <c r="E41" s="199" t="s">
        <v>155</v>
      </c>
      <c r="F41" s="18" t="s">
        <v>129</v>
      </c>
      <c r="G41" s="19" t="s">
        <v>166</v>
      </c>
      <c r="H41" s="20">
        <v>1</v>
      </c>
      <c r="I41" s="21">
        <v>8</v>
      </c>
      <c r="J41" s="22">
        <v>0</v>
      </c>
      <c r="K41" s="22">
        <f t="shared" si="11"/>
        <v>8</v>
      </c>
      <c r="L41" s="23" t="str">
        <f>IF(SUMPRODUCT($J$62:K$62,$J41:K41)&lt;0.5, "Pending", IF(K41&lt;0.5, "Complete", "In Progress"))</f>
        <v>Pending</v>
      </c>
      <c r="M41" s="22">
        <v>0</v>
      </c>
      <c r="N41" s="22">
        <f t="shared" si="12"/>
        <v>8</v>
      </c>
      <c r="O41" s="23" t="str">
        <f>IF(SUMPRODUCT($J$62:N$62,$J41:N41)&lt;0.5, "Pending", IF(N41&lt;0.5, "Complete", "In Progress"))</f>
        <v>Pending</v>
      </c>
      <c r="P41" s="22">
        <v>0</v>
      </c>
      <c r="Q41" s="22">
        <f t="shared" si="13"/>
        <v>8</v>
      </c>
      <c r="R41" s="23" t="str">
        <f>IF(SUMPRODUCT($J$62:Q$62,$J41:Q41)&lt;0.5, "Pending", IF(Q41&lt;0.5, "Complete", "In Progress"))</f>
        <v>Pending</v>
      </c>
      <c r="S41" s="22">
        <v>0</v>
      </c>
      <c r="T41" s="22">
        <f t="shared" si="14"/>
        <v>8</v>
      </c>
      <c r="U41" s="23" t="str">
        <f>IF(SUMPRODUCT($J$62:T$62,$J41:T41)&lt;0.5, "Pending", IF(T41&lt;0.5, "Complete", "In Progress"))</f>
        <v>Pending</v>
      </c>
      <c r="V41" s="22">
        <v>0</v>
      </c>
      <c r="W41" s="22">
        <f t="shared" si="15"/>
        <v>8</v>
      </c>
      <c r="X41" s="23" t="str">
        <f>IF(SUMPRODUCT($J$62:W$62,$J41:W41)&lt;0.5, "Pending", IF(W41&lt;0.5, "Complete", "In Progress"))</f>
        <v>Pending</v>
      </c>
      <c r="Y41" s="22">
        <v>0</v>
      </c>
      <c r="Z41" s="22">
        <f t="shared" si="16"/>
        <v>8</v>
      </c>
      <c r="AA41" s="23" t="str">
        <f>IF(SUMPRODUCT($J$62:Z$62,$J41:Z41)&lt;0.5, "Pending", IF(Z41&lt;0.5, "Complete", "In Progress"))</f>
        <v>Pending</v>
      </c>
      <c r="AB41" s="22">
        <v>0</v>
      </c>
      <c r="AC41" s="22">
        <f t="shared" si="17"/>
        <v>8</v>
      </c>
      <c r="AD41" s="23" t="str">
        <f>IF(SUMPRODUCT($J$62:AC$62,$J41:AC41)&lt;0.5, "Pending", IF(AC41&lt;0.5, "Complete", "In Progress"))</f>
        <v>Pending</v>
      </c>
      <c r="AE41" s="22">
        <v>0</v>
      </c>
      <c r="AF41" s="22">
        <f t="shared" si="18"/>
        <v>8</v>
      </c>
      <c r="AG41" s="23" t="str">
        <f>IF(SUMPRODUCT($J$62:AF$62,$J41:AF41)&lt;0.5, "Pending", IF(AF41&lt;0.5, "Complete", "In Progress"))</f>
        <v>Pending</v>
      </c>
      <c r="AH41" s="22">
        <v>0</v>
      </c>
      <c r="AI41" s="22">
        <f t="shared" si="19"/>
        <v>8</v>
      </c>
      <c r="AJ41" s="23" t="str">
        <f>IF(SUMPRODUCT($J$62:AI$62,$J41:AI41)&lt;0.5, "Pending", IF(AI41&lt;0.5, "Complete", "In Progress"))</f>
        <v>Pending</v>
      </c>
      <c r="AK41" s="22">
        <v>0</v>
      </c>
      <c r="AL41" s="22">
        <f t="shared" si="20"/>
        <v>8</v>
      </c>
      <c r="AM41" s="23" t="str">
        <f>IF(SUMPRODUCT($J$62:AL$62,$J41:AL41)&lt;0.5, "Pending", IF(AL41&lt;0.5, "Complete", "In Progress"))</f>
        <v>Pending</v>
      </c>
      <c r="AN41" s="22">
        <v>0</v>
      </c>
      <c r="AO41" s="22">
        <f t="shared" si="21"/>
        <v>8</v>
      </c>
      <c r="AP41" s="23" t="str">
        <f>IF(SUMPRODUCT($J$62:AO$62,$J41:AO41)&lt;0.5, "Pending", IF(AO41&lt;0.5, "Complete", "In Progress"))</f>
        <v>Pending</v>
      </c>
      <c r="AQ41" s="22">
        <v>0</v>
      </c>
      <c r="AR41" s="22">
        <f t="shared" si="22"/>
        <v>8</v>
      </c>
      <c r="AS41" s="23" t="str">
        <f>IF(SUMPRODUCT($J$62:AR$62,$J41:AR41)&lt;0.5, "Pending", IF(AR41&lt;0.5, "Complete", "In Progress"))</f>
        <v>Pending</v>
      </c>
      <c r="AT41" s="22">
        <v>0</v>
      </c>
      <c r="AU41" s="22">
        <f t="shared" si="23"/>
        <v>8</v>
      </c>
      <c r="AV41" s="23" t="str">
        <f>IF(SUMPRODUCT($J$62:AU$62,$J41:AU41)&lt;0.5, "Pending", IF(AU41&lt;0.5, "Complete", "In Progress"))</f>
        <v>Pending</v>
      </c>
      <c r="AW41" s="22">
        <v>0</v>
      </c>
      <c r="AX41" s="22">
        <f t="shared" si="24"/>
        <v>8</v>
      </c>
      <c r="AY41" s="23" t="str">
        <f>IF(SUMPRODUCT($J$62:AX$62,$J41:AX41)&lt;0.5, "Pending", IF(AX41&lt;0.5, "Complete", "In Progress"))</f>
        <v>Pending</v>
      </c>
      <c r="AZ41" s="22">
        <v>0</v>
      </c>
      <c r="BA41" s="22">
        <f t="shared" si="25"/>
        <v>8</v>
      </c>
      <c r="BB41" s="23" t="str">
        <f>IF(SUMPRODUCT($J$62:BA$62,$J41:BA41)&lt;0.5, "Pending", IF(BA41&lt;0.5, "Complete", "In Progress"))</f>
        <v>Pending</v>
      </c>
      <c r="BC41" s="22">
        <v>0</v>
      </c>
      <c r="BD41" s="22">
        <f t="shared" si="26"/>
        <v>8</v>
      </c>
      <c r="BE41" s="23" t="str">
        <f>IF(SUMPRODUCT($J$62:BD$62,$J41:BD41)&lt;0.5, "Pending", IF(BD41&lt;0.5, "Complete", "In Progress"))</f>
        <v>Pending</v>
      </c>
      <c r="BF41" s="22">
        <v>0</v>
      </c>
      <c r="BG41" s="22">
        <f t="shared" si="27"/>
        <v>8</v>
      </c>
      <c r="BH41" s="23" t="str">
        <f>IF(SUMPRODUCT($J$62:BG$62,$J41:BG41)&lt;0.5, "Pending", IF(BG41&lt;0.5, "Complete", "In Progress"))</f>
        <v>Pending</v>
      </c>
      <c r="BI41" s="22">
        <v>0</v>
      </c>
      <c r="BJ41" s="22">
        <f t="shared" si="28"/>
        <v>8</v>
      </c>
      <c r="BK41" s="23" t="str">
        <f>IF(SUMPRODUCT($J$62:BJ$62,$J41:BJ41)&lt;0.5, "Pending", IF(BJ41&lt;0.5, "Complete", "In Progress"))</f>
        <v>Pending</v>
      </c>
      <c r="BL41" s="22">
        <v>0</v>
      </c>
      <c r="BM41" s="22">
        <f t="shared" si="29"/>
        <v>8</v>
      </c>
      <c r="BN41" s="23" t="str">
        <f>IF(SUMPRODUCT($J$62:BM$62,$J41:BM41)&lt;0.5, "Pending", IF(BM41&lt;0.5, "Complete", "In Progress"))</f>
        <v>Pending</v>
      </c>
      <c r="BO41" s="22">
        <v>0</v>
      </c>
      <c r="BP41" s="22">
        <f t="shared" si="30"/>
        <v>8</v>
      </c>
      <c r="BQ41" s="23" t="str">
        <f>IF(SUMPRODUCT($J$62:BP$62,$J41:BP41)&lt;0.5, "Pending", IF(BP41&lt;0.5, "Complete", "In Progress"))</f>
        <v>Pending</v>
      </c>
      <c r="BR41" s="22">
        <v>0</v>
      </c>
      <c r="BS41" s="22">
        <f t="shared" si="31"/>
        <v>8</v>
      </c>
      <c r="BT41" s="23" t="str">
        <f>IF(SUMPRODUCT($J$62:BS$62,$J41:BS41)&lt;0.5, "Pending", IF(BS41&lt;0.5, "Complete", "In Progress"))</f>
        <v>Pending</v>
      </c>
      <c r="BU41" s="22">
        <v>0</v>
      </c>
      <c r="BV41" s="22">
        <f t="shared" si="32"/>
        <v>8</v>
      </c>
      <c r="BW41" s="23" t="str">
        <f>IF(SUMPRODUCT($J$62:BV$62,$J41:BV41)&lt;0.5, "Pending", IF(BV41&lt;0.5, "Complete", "In Progress"))</f>
        <v>Pending</v>
      </c>
      <c r="BX41" s="22">
        <v>0</v>
      </c>
      <c r="BY41" s="22">
        <f t="shared" si="33"/>
        <v>8</v>
      </c>
      <c r="BZ41" s="23" t="str">
        <f>IF(SUMPRODUCT($J$62:BY$62,$J41:BY41)&lt;0.5, "Pending", IF(BY41&lt;0.5, "Complete", "In Progress"))</f>
        <v>Pending</v>
      </c>
      <c r="CA41" s="22">
        <v>0</v>
      </c>
      <c r="CB41" s="22">
        <f t="shared" si="34"/>
        <v>8</v>
      </c>
      <c r="CC41" s="23" t="str">
        <f>IF(SUMPRODUCT($J$62:CB$62,$J41:CB41)&lt;0.5, "Pending", IF(CB41&lt;0.5, "Complete", "In Progress"))</f>
        <v>Pending</v>
      </c>
      <c r="CD41" s="22">
        <v>0</v>
      </c>
      <c r="CE41" s="22">
        <f t="shared" si="35"/>
        <v>8</v>
      </c>
      <c r="CF41" s="23" t="str">
        <f>IF(SUMPRODUCT($J$62:CE$62,$J41:CE41)&lt;0.5, "Pending", IF(CE41&lt;0.5, "Complete", "In Progress"))</f>
        <v>Pending</v>
      </c>
      <c r="CG41" s="22">
        <v>0</v>
      </c>
      <c r="CH41" s="22">
        <f t="shared" si="36"/>
        <v>8</v>
      </c>
      <c r="CI41" s="23" t="str">
        <f>IF(SUMPRODUCT($J$62:CH$62,$J41:CH41)&lt;0.5, "Pending", IF(CH41&lt;0.5, "Complete", "In Progress"))</f>
        <v>Pending</v>
      </c>
      <c r="CJ41" s="22">
        <v>0</v>
      </c>
      <c r="CK41" s="22">
        <f t="shared" si="37"/>
        <v>8</v>
      </c>
      <c r="CL41" s="23" t="str">
        <f>IF(SUMPRODUCT($J$62:CK$62,$J41:CK41)&lt;0.5, "Pending", IF(CK41&lt;0.5, "Complete", "In Progress"))</f>
        <v>Pending</v>
      </c>
      <c r="CM41" s="22">
        <v>0</v>
      </c>
      <c r="CN41" s="22">
        <f t="shared" si="38"/>
        <v>8</v>
      </c>
      <c r="CO41" s="23" t="str">
        <f>IF(SUMPRODUCT($J$62:CN$62,$J41:CN41)&lt;0.5, "Pending", IF(CN41&lt;0.5, "Complete", "In Progress"))</f>
        <v>Pending</v>
      </c>
      <c r="CP41" s="22">
        <v>0</v>
      </c>
      <c r="CQ41" s="22">
        <f t="shared" si="39"/>
        <v>8</v>
      </c>
      <c r="CR41" s="23" t="str">
        <f>IF(SUMPRODUCT($J$62:CQ$62,$J41:CQ41)&lt;0.5, "Pending", IF(CQ41&lt;0.5, "Complete", "In Progress"))</f>
        <v>Pending</v>
      </c>
      <c r="CS41" s="22">
        <v>0</v>
      </c>
      <c r="CT41" s="22">
        <f t="shared" si="40"/>
        <v>8</v>
      </c>
      <c r="CU41" s="23" t="str">
        <f>IF(SUMPRODUCT($J$62:CT$62,$J41:CT41)&lt;0.5, "Pending", IF(CT41&lt;0.5, "Complete", "In Progress"))</f>
        <v>Pending</v>
      </c>
      <c r="CV41" s="22">
        <v>0</v>
      </c>
      <c r="CW41" s="22">
        <f t="shared" si="41"/>
        <v>8</v>
      </c>
      <c r="CX41" s="23" t="str">
        <f>IF(SUMPRODUCT($J$62:CW$62,$J41:CW41)&lt;0.5, "Pending", IF(CW41&lt;0.5, "Complete", "In Progress"))</f>
        <v>Pending</v>
      </c>
      <c r="CY41" s="22">
        <v>0</v>
      </c>
      <c r="CZ41" s="22">
        <f t="shared" si="42"/>
        <v>8</v>
      </c>
      <c r="DA41" s="23" t="str">
        <f>IF(SUMPRODUCT($J$62:CZ$62,$J41:CZ41)&lt;0.5, "Pending", IF(CZ41&lt;0.5, "Complete", "In Progress"))</f>
        <v>Pending</v>
      </c>
      <c r="DB41" s="22">
        <v>0</v>
      </c>
      <c r="DC41" s="22">
        <f t="shared" si="43"/>
        <v>8</v>
      </c>
      <c r="DD41" s="23" t="str">
        <f>IF(SUMPRODUCT($J$62:DC$62,$J41:DC41)&lt;0.5, "Pending", IF(DC41&lt;0.5, "Complete", "In Progress"))</f>
        <v>Pending</v>
      </c>
      <c r="DE41" s="22">
        <v>0</v>
      </c>
      <c r="DF41" s="22">
        <f t="shared" si="44"/>
        <v>8</v>
      </c>
      <c r="DG41" s="23" t="str">
        <f>IF(SUMPRODUCT($J$62:DF$62,$J41:DF41)&lt;0.5, "Pending", IF(DF41&lt;0.5, "Complete", "In Progress"))</f>
        <v>Pending</v>
      </c>
      <c r="DH41" s="22">
        <v>0</v>
      </c>
      <c r="DI41" s="22">
        <f t="shared" si="45"/>
        <v>8</v>
      </c>
      <c r="DJ41" s="23" t="str">
        <f>IF(SUMPRODUCT($J$62:DI$62,$J41:DI41)&lt;0.5, "Pending", IF(DI41&lt;0.5, "Complete", "In Progress"))</f>
        <v>Pending</v>
      </c>
      <c r="DK41" s="22">
        <v>0</v>
      </c>
      <c r="DL41" s="22">
        <f t="shared" si="46"/>
        <v>8</v>
      </c>
      <c r="DM41" s="23" t="str">
        <f>IF(SUMPRODUCT($J$62:DL$62,$J41:DL41)&lt;0.5, "Pending", IF(DL41&lt;0.5, "Complete", "In Progress"))</f>
        <v>Pending</v>
      </c>
      <c r="DN41" s="22">
        <v>0</v>
      </c>
      <c r="DO41" s="22">
        <f t="shared" si="47"/>
        <v>8</v>
      </c>
      <c r="DP41" s="23" t="str">
        <f>IF(SUMPRODUCT($J$62:DO$62,$J41:DO41)&lt;0.5, "Pending", IF(DO41&lt;0.5, "Complete", "In Progress"))</f>
        <v>Pending</v>
      </c>
      <c r="DQ41" s="22">
        <v>0</v>
      </c>
      <c r="DR41" s="22">
        <f t="shared" si="48"/>
        <v>8</v>
      </c>
      <c r="DS41" s="23" t="str">
        <f>IF(SUMPRODUCT($J$62:DR$62,$J41:DR41)&lt;0.5, "Pending", IF(DR41&lt;0.5, "Complete", "In Progress"))</f>
        <v>Pending</v>
      </c>
      <c r="DT41" s="22">
        <v>0</v>
      </c>
      <c r="DU41" s="22">
        <f t="shared" si="49"/>
        <v>8</v>
      </c>
      <c r="DV41" s="23" t="str">
        <f>IF(SUMPRODUCT($J$62:DU$62,$J41:DU41)&lt;0.5, "Pending", IF(DU41&lt;0.5, "Complete", "In Progress"))</f>
        <v>Pending</v>
      </c>
      <c r="DW41" s="22">
        <v>0</v>
      </c>
      <c r="DX41" s="22">
        <f t="shared" si="50"/>
        <v>8</v>
      </c>
      <c r="DY41" s="23" t="str">
        <f>IF(SUMPRODUCT($J$62:DX$62,$J41:DX41)&lt;0.5, "Pending", IF(DX41&lt;0.5, "Complete", "In Progress"))</f>
        <v>Pending</v>
      </c>
      <c r="DZ41" s="24"/>
      <c r="EA41" s="25">
        <f>SUMPRODUCT($H$62:DG$62,$H41:DG41)</f>
        <v>0</v>
      </c>
    </row>
    <row r="42" spans="1:131" x14ac:dyDescent="0.25">
      <c r="A42" s="16" t="s">
        <v>119</v>
      </c>
      <c r="B42" s="16" t="s">
        <v>152</v>
      </c>
      <c r="C42" s="16" t="s">
        <v>121</v>
      </c>
      <c r="D42" s="17">
        <v>12</v>
      </c>
      <c r="E42" s="199" t="s">
        <v>156</v>
      </c>
      <c r="F42" s="18" t="s">
        <v>129</v>
      </c>
      <c r="G42" s="19" t="str">
        <f t="shared" ca="1" si="0"/>
        <v>Pending</v>
      </c>
      <c r="H42" s="20">
        <v>1</v>
      </c>
      <c r="I42" s="21">
        <v>8</v>
      </c>
      <c r="J42" s="22">
        <v>0</v>
      </c>
      <c r="K42" s="22">
        <f t="shared" si="11"/>
        <v>8</v>
      </c>
      <c r="L42" s="23" t="str">
        <f>IF(SUMPRODUCT($J$62:K$62,$J42:K42)&lt;0.5, "Pending", IF(K42&lt;0.5, "Complete", "In Progress"))</f>
        <v>Pending</v>
      </c>
      <c r="M42" s="22">
        <v>0</v>
      </c>
      <c r="N42" s="22">
        <f t="shared" si="12"/>
        <v>8</v>
      </c>
      <c r="O42" s="23" t="str">
        <f>IF(SUMPRODUCT($J$62:N$62,$J42:N42)&lt;0.5, "Pending", IF(N42&lt;0.5, "Complete", "In Progress"))</f>
        <v>Pending</v>
      </c>
      <c r="P42" s="22">
        <v>0</v>
      </c>
      <c r="Q42" s="22">
        <f t="shared" si="13"/>
        <v>8</v>
      </c>
      <c r="R42" s="23" t="str">
        <f>IF(SUMPRODUCT($J$62:Q$62,$J42:Q42)&lt;0.5, "Pending", IF(Q42&lt;0.5, "Complete", "In Progress"))</f>
        <v>Pending</v>
      </c>
      <c r="S42" s="22">
        <v>0</v>
      </c>
      <c r="T42" s="22">
        <f t="shared" si="14"/>
        <v>8</v>
      </c>
      <c r="U42" s="23" t="str">
        <f>IF(SUMPRODUCT($J$62:T$62,$J42:T42)&lt;0.5, "Pending", IF(T42&lt;0.5, "Complete", "In Progress"))</f>
        <v>Pending</v>
      </c>
      <c r="V42" s="22">
        <v>0</v>
      </c>
      <c r="W42" s="22">
        <f t="shared" si="15"/>
        <v>8</v>
      </c>
      <c r="X42" s="23" t="str">
        <f>IF(SUMPRODUCT($J$62:W$62,$J42:W42)&lt;0.5, "Pending", IF(W42&lt;0.5, "Complete", "In Progress"))</f>
        <v>Pending</v>
      </c>
      <c r="Y42" s="22">
        <v>0</v>
      </c>
      <c r="Z42" s="22">
        <f t="shared" si="16"/>
        <v>8</v>
      </c>
      <c r="AA42" s="23" t="str">
        <f>IF(SUMPRODUCT($J$62:Z$62,$J42:Z42)&lt;0.5, "Pending", IF(Z42&lt;0.5, "Complete", "In Progress"))</f>
        <v>Pending</v>
      </c>
      <c r="AB42" s="22">
        <v>0</v>
      </c>
      <c r="AC42" s="22">
        <f t="shared" si="17"/>
        <v>8</v>
      </c>
      <c r="AD42" s="23" t="str">
        <f>IF(SUMPRODUCT($J$62:AC$62,$J42:AC42)&lt;0.5, "Pending", IF(AC42&lt;0.5, "Complete", "In Progress"))</f>
        <v>Pending</v>
      </c>
      <c r="AE42" s="22">
        <v>0</v>
      </c>
      <c r="AF42" s="22">
        <f t="shared" si="18"/>
        <v>8</v>
      </c>
      <c r="AG42" s="23" t="str">
        <f>IF(SUMPRODUCT($J$62:AF$62,$J42:AF42)&lt;0.5, "Pending", IF(AF42&lt;0.5, "Complete", "In Progress"))</f>
        <v>Pending</v>
      </c>
      <c r="AH42" s="22">
        <v>0</v>
      </c>
      <c r="AI42" s="22">
        <f t="shared" si="19"/>
        <v>8</v>
      </c>
      <c r="AJ42" s="23" t="str">
        <f>IF(SUMPRODUCT($J$62:AI$62,$J42:AI42)&lt;0.5, "Pending", IF(AI42&lt;0.5, "Complete", "In Progress"))</f>
        <v>Pending</v>
      </c>
      <c r="AK42" s="22">
        <v>0</v>
      </c>
      <c r="AL42" s="22">
        <f t="shared" si="20"/>
        <v>8</v>
      </c>
      <c r="AM42" s="23" t="str">
        <f>IF(SUMPRODUCT($J$62:AL$62,$J42:AL42)&lt;0.5, "Pending", IF(AL42&lt;0.5, "Complete", "In Progress"))</f>
        <v>Pending</v>
      </c>
      <c r="AN42" s="22">
        <v>0</v>
      </c>
      <c r="AO42" s="22">
        <f t="shared" si="21"/>
        <v>8</v>
      </c>
      <c r="AP42" s="23" t="str">
        <f>IF(SUMPRODUCT($J$62:AO$62,$J42:AO42)&lt;0.5, "Pending", IF(AO42&lt;0.5, "Complete", "In Progress"))</f>
        <v>Pending</v>
      </c>
      <c r="AQ42" s="22">
        <v>0</v>
      </c>
      <c r="AR42" s="22">
        <f t="shared" si="22"/>
        <v>8</v>
      </c>
      <c r="AS42" s="23" t="str">
        <f>IF(SUMPRODUCT($J$62:AR$62,$J42:AR42)&lt;0.5, "Pending", IF(AR42&lt;0.5, "Complete", "In Progress"))</f>
        <v>Pending</v>
      </c>
      <c r="AT42" s="22">
        <v>0</v>
      </c>
      <c r="AU42" s="22">
        <f t="shared" si="23"/>
        <v>8</v>
      </c>
      <c r="AV42" s="23" t="str">
        <f>IF(SUMPRODUCT($J$62:AU$62,$J42:AU42)&lt;0.5, "Pending", IF(AU42&lt;0.5, "Complete", "In Progress"))</f>
        <v>Pending</v>
      </c>
      <c r="AW42" s="22">
        <v>0</v>
      </c>
      <c r="AX42" s="22">
        <f t="shared" si="24"/>
        <v>8</v>
      </c>
      <c r="AY42" s="23" t="str">
        <f>IF(SUMPRODUCT($J$62:AX$62,$J42:AX42)&lt;0.5, "Pending", IF(AX42&lt;0.5, "Complete", "In Progress"))</f>
        <v>Pending</v>
      </c>
      <c r="AZ42" s="22">
        <v>0</v>
      </c>
      <c r="BA42" s="22">
        <f t="shared" si="25"/>
        <v>8</v>
      </c>
      <c r="BB42" s="23" t="str">
        <f>IF(SUMPRODUCT($J$62:BA$62,$J42:BA42)&lt;0.5, "Pending", IF(BA42&lt;0.5, "Complete", "In Progress"))</f>
        <v>Pending</v>
      </c>
      <c r="BC42" s="22">
        <v>0</v>
      </c>
      <c r="BD42" s="22">
        <f t="shared" si="26"/>
        <v>8</v>
      </c>
      <c r="BE42" s="23" t="str">
        <f>IF(SUMPRODUCT($J$62:BD$62,$J42:BD42)&lt;0.5, "Pending", IF(BD42&lt;0.5, "Complete", "In Progress"))</f>
        <v>Pending</v>
      </c>
      <c r="BF42" s="22">
        <v>0</v>
      </c>
      <c r="BG42" s="22">
        <f t="shared" si="27"/>
        <v>8</v>
      </c>
      <c r="BH42" s="23" t="str">
        <f>IF(SUMPRODUCT($J$62:BG$62,$J42:BG42)&lt;0.5, "Pending", IF(BG42&lt;0.5, "Complete", "In Progress"))</f>
        <v>Pending</v>
      </c>
      <c r="BI42" s="22">
        <v>0</v>
      </c>
      <c r="BJ42" s="22">
        <f t="shared" si="28"/>
        <v>8</v>
      </c>
      <c r="BK42" s="23" t="str">
        <f>IF(SUMPRODUCT($J$62:BJ$62,$J42:BJ42)&lt;0.5, "Pending", IF(BJ42&lt;0.5, "Complete", "In Progress"))</f>
        <v>Pending</v>
      </c>
      <c r="BL42" s="22">
        <v>0</v>
      </c>
      <c r="BM42" s="22">
        <f t="shared" si="29"/>
        <v>8</v>
      </c>
      <c r="BN42" s="23" t="str">
        <f>IF(SUMPRODUCT($J$62:BM$62,$J42:BM42)&lt;0.5, "Pending", IF(BM42&lt;0.5, "Complete", "In Progress"))</f>
        <v>Pending</v>
      </c>
      <c r="BO42" s="22">
        <v>0</v>
      </c>
      <c r="BP42" s="22">
        <f t="shared" si="30"/>
        <v>8</v>
      </c>
      <c r="BQ42" s="23" t="str">
        <f>IF(SUMPRODUCT($J$62:BP$62,$J42:BP42)&lt;0.5, "Pending", IF(BP42&lt;0.5, "Complete", "In Progress"))</f>
        <v>Pending</v>
      </c>
      <c r="BR42" s="22">
        <v>0</v>
      </c>
      <c r="BS42" s="22">
        <f t="shared" si="31"/>
        <v>8</v>
      </c>
      <c r="BT42" s="23" t="str">
        <f>IF(SUMPRODUCT($J$62:BS$62,$J42:BS42)&lt;0.5, "Pending", IF(BS42&lt;0.5, "Complete", "In Progress"))</f>
        <v>Pending</v>
      </c>
      <c r="BU42" s="22">
        <v>0</v>
      </c>
      <c r="BV42" s="22">
        <f t="shared" si="32"/>
        <v>8</v>
      </c>
      <c r="BW42" s="23" t="str">
        <f>IF(SUMPRODUCT($J$62:BV$62,$J42:BV42)&lt;0.5, "Pending", IF(BV42&lt;0.5, "Complete", "In Progress"))</f>
        <v>Pending</v>
      </c>
      <c r="BX42" s="22">
        <v>0</v>
      </c>
      <c r="BY42" s="22">
        <f t="shared" si="33"/>
        <v>8</v>
      </c>
      <c r="BZ42" s="23" t="str">
        <f>IF(SUMPRODUCT($J$62:BY$62,$J42:BY42)&lt;0.5, "Pending", IF(BY42&lt;0.5, "Complete", "In Progress"))</f>
        <v>Pending</v>
      </c>
      <c r="CA42" s="22">
        <v>0</v>
      </c>
      <c r="CB42" s="22">
        <f t="shared" si="34"/>
        <v>8</v>
      </c>
      <c r="CC42" s="23" t="str">
        <f>IF(SUMPRODUCT($J$62:CB$62,$J42:CB42)&lt;0.5, "Pending", IF(CB42&lt;0.5, "Complete", "In Progress"))</f>
        <v>Pending</v>
      </c>
      <c r="CD42" s="22">
        <v>0</v>
      </c>
      <c r="CE42" s="22">
        <f t="shared" si="35"/>
        <v>8</v>
      </c>
      <c r="CF42" s="23" t="str">
        <f>IF(SUMPRODUCT($J$62:CE$62,$J42:CE42)&lt;0.5, "Pending", IF(CE42&lt;0.5, "Complete", "In Progress"))</f>
        <v>Pending</v>
      </c>
      <c r="CG42" s="22">
        <v>0</v>
      </c>
      <c r="CH42" s="22">
        <f t="shared" si="36"/>
        <v>8</v>
      </c>
      <c r="CI42" s="23" t="str">
        <f>IF(SUMPRODUCT($J$62:CH$62,$J42:CH42)&lt;0.5, "Pending", IF(CH42&lt;0.5, "Complete", "In Progress"))</f>
        <v>Pending</v>
      </c>
      <c r="CJ42" s="22">
        <v>0</v>
      </c>
      <c r="CK42" s="22">
        <f t="shared" si="37"/>
        <v>8</v>
      </c>
      <c r="CL42" s="23" t="str">
        <f>IF(SUMPRODUCT($J$62:CK$62,$J42:CK42)&lt;0.5, "Pending", IF(CK42&lt;0.5, "Complete", "In Progress"))</f>
        <v>Pending</v>
      </c>
      <c r="CM42" s="22">
        <v>0</v>
      </c>
      <c r="CN42" s="22">
        <f t="shared" si="38"/>
        <v>8</v>
      </c>
      <c r="CO42" s="23" t="str">
        <f>IF(SUMPRODUCT($J$62:CN$62,$J42:CN42)&lt;0.5, "Pending", IF(CN42&lt;0.5, "Complete", "In Progress"))</f>
        <v>Pending</v>
      </c>
      <c r="CP42" s="22">
        <v>0</v>
      </c>
      <c r="CQ42" s="22">
        <f t="shared" si="39"/>
        <v>8</v>
      </c>
      <c r="CR42" s="23" t="str">
        <f>IF(SUMPRODUCT($J$62:CQ$62,$J42:CQ42)&lt;0.5, "Pending", IF(CQ42&lt;0.5, "Complete", "In Progress"))</f>
        <v>Pending</v>
      </c>
      <c r="CS42" s="22">
        <v>0</v>
      </c>
      <c r="CT42" s="22">
        <f t="shared" si="40"/>
        <v>8</v>
      </c>
      <c r="CU42" s="23" t="str">
        <f>IF(SUMPRODUCT($J$62:CT$62,$J42:CT42)&lt;0.5, "Pending", IF(CT42&lt;0.5, "Complete", "In Progress"))</f>
        <v>Pending</v>
      </c>
      <c r="CV42" s="22">
        <v>0</v>
      </c>
      <c r="CW42" s="22">
        <f t="shared" si="41"/>
        <v>8</v>
      </c>
      <c r="CX42" s="23" t="str">
        <f>IF(SUMPRODUCT($J$62:CW$62,$J42:CW42)&lt;0.5, "Pending", IF(CW42&lt;0.5, "Complete", "In Progress"))</f>
        <v>Pending</v>
      </c>
      <c r="CY42" s="22">
        <v>0</v>
      </c>
      <c r="CZ42" s="22">
        <f t="shared" si="42"/>
        <v>8</v>
      </c>
      <c r="DA42" s="23" t="str">
        <f>IF(SUMPRODUCT($J$62:CZ$62,$J42:CZ42)&lt;0.5, "Pending", IF(CZ42&lt;0.5, "Complete", "In Progress"))</f>
        <v>Pending</v>
      </c>
      <c r="DB42" s="22">
        <v>0</v>
      </c>
      <c r="DC42" s="22">
        <f t="shared" si="43"/>
        <v>8</v>
      </c>
      <c r="DD42" s="23" t="str">
        <f>IF(SUMPRODUCT($J$62:DC$62,$J42:DC42)&lt;0.5, "Pending", IF(DC42&lt;0.5, "Complete", "In Progress"))</f>
        <v>Pending</v>
      </c>
      <c r="DE42" s="22">
        <v>0</v>
      </c>
      <c r="DF42" s="22">
        <f t="shared" si="44"/>
        <v>8</v>
      </c>
      <c r="DG42" s="23" t="str">
        <f>IF(SUMPRODUCT($J$62:DF$62,$J42:DF42)&lt;0.5, "Pending", IF(DF42&lt;0.5, "Complete", "In Progress"))</f>
        <v>Pending</v>
      </c>
      <c r="DH42" s="22">
        <v>0</v>
      </c>
      <c r="DI42" s="22">
        <f t="shared" si="45"/>
        <v>8</v>
      </c>
      <c r="DJ42" s="23" t="str">
        <f>IF(SUMPRODUCT($J$62:DI$62,$J42:DI42)&lt;0.5, "Pending", IF(DI42&lt;0.5, "Complete", "In Progress"))</f>
        <v>Pending</v>
      </c>
      <c r="DK42" s="22">
        <v>0</v>
      </c>
      <c r="DL42" s="22">
        <f t="shared" si="46"/>
        <v>8</v>
      </c>
      <c r="DM42" s="23" t="str">
        <f>IF(SUMPRODUCT($J$62:DL$62,$J42:DL42)&lt;0.5, "Pending", IF(DL42&lt;0.5, "Complete", "In Progress"))</f>
        <v>Pending</v>
      </c>
      <c r="DN42" s="22">
        <v>0</v>
      </c>
      <c r="DO42" s="22">
        <f t="shared" si="47"/>
        <v>8</v>
      </c>
      <c r="DP42" s="23" t="str">
        <f>IF(SUMPRODUCT($J$62:DO$62,$J42:DO42)&lt;0.5, "Pending", IF(DO42&lt;0.5, "Complete", "In Progress"))</f>
        <v>Pending</v>
      </c>
      <c r="DQ42" s="22">
        <v>0</v>
      </c>
      <c r="DR42" s="22">
        <f t="shared" si="48"/>
        <v>8</v>
      </c>
      <c r="DS42" s="23" t="str">
        <f>IF(SUMPRODUCT($J$62:DR$62,$J42:DR42)&lt;0.5, "Pending", IF(DR42&lt;0.5, "Complete", "In Progress"))</f>
        <v>Pending</v>
      </c>
      <c r="DT42" s="22">
        <v>0</v>
      </c>
      <c r="DU42" s="22">
        <f t="shared" si="49"/>
        <v>8</v>
      </c>
      <c r="DV42" s="23" t="str">
        <f>IF(SUMPRODUCT($J$62:DU$62,$J42:DU42)&lt;0.5, "Pending", IF(DU42&lt;0.5, "Complete", "In Progress"))</f>
        <v>Pending</v>
      </c>
      <c r="DW42" s="22">
        <v>0</v>
      </c>
      <c r="DX42" s="22">
        <f t="shared" si="50"/>
        <v>8</v>
      </c>
      <c r="DY42" s="23" t="str">
        <f>IF(SUMPRODUCT($J$62:DX$62,$J42:DX42)&lt;0.5, "Pending", IF(DX42&lt;0.5, "Complete", "In Progress"))</f>
        <v>Pending</v>
      </c>
      <c r="DZ42" s="24"/>
      <c r="EA42" s="25">
        <f>SUMPRODUCT($H$62:DG$62,$H42:DG42)</f>
        <v>0</v>
      </c>
    </row>
    <row r="43" spans="1:131" x14ac:dyDescent="0.25">
      <c r="A43" s="16" t="s">
        <v>124</v>
      </c>
      <c r="B43" s="16" t="s">
        <v>152</v>
      </c>
      <c r="C43" s="16" t="s">
        <v>121</v>
      </c>
      <c r="D43" s="17">
        <v>13</v>
      </c>
      <c r="E43" s="199" t="s">
        <v>157</v>
      </c>
      <c r="F43" s="18" t="s">
        <v>126</v>
      </c>
      <c r="G43" s="19" t="str">
        <f t="shared" ca="1" si="0"/>
        <v>Pending</v>
      </c>
      <c r="H43" s="20">
        <v>1</v>
      </c>
      <c r="I43" s="21">
        <v>3</v>
      </c>
      <c r="J43" s="22">
        <v>0</v>
      </c>
      <c r="K43" s="22">
        <f t="shared" ref="K43" si="251">MAX(I43-J43, 0)</f>
        <v>3</v>
      </c>
      <c r="L43" s="23" t="str">
        <f>IF(SUMPRODUCT($J$62:K$62,$J43:K43)&lt;0.5, "Pending", IF(K43&lt;0.5, "Complete", "In Progress"))</f>
        <v>Pending</v>
      </c>
      <c r="M43" s="22">
        <v>0</v>
      </c>
      <c r="N43" s="22">
        <f t="shared" ref="N43" si="252">MAX(K43-M43,0)</f>
        <v>3</v>
      </c>
      <c r="O43" s="23" t="str">
        <f>IF(SUMPRODUCT($J$62:N$62,$J43:N43)&lt;0.5, "Pending", IF(N43&lt;0.5, "Complete", "In Progress"))</f>
        <v>Pending</v>
      </c>
      <c r="P43" s="22">
        <v>0</v>
      </c>
      <c r="Q43" s="22">
        <f t="shared" ref="Q43" si="253">MAX(N43-P43,0)</f>
        <v>3</v>
      </c>
      <c r="R43" s="23" t="str">
        <f>IF(SUMPRODUCT($J$62:Q$62,$J43:Q43)&lt;0.5, "Pending", IF(Q43&lt;0.5, "Complete", "In Progress"))</f>
        <v>Pending</v>
      </c>
      <c r="S43" s="22">
        <v>0</v>
      </c>
      <c r="T43" s="22">
        <f t="shared" ref="T43" si="254">MAX(Q43-S43,0)</f>
        <v>3</v>
      </c>
      <c r="U43" s="23" t="str">
        <f>IF(SUMPRODUCT($J$62:T$62,$J43:T43)&lt;0.5, "Pending", IF(T43&lt;0.5, "Complete", "In Progress"))</f>
        <v>Pending</v>
      </c>
      <c r="V43" s="22">
        <v>0</v>
      </c>
      <c r="W43" s="22">
        <f t="shared" ref="W43" si="255">MAX(T43-V43,0)</f>
        <v>3</v>
      </c>
      <c r="X43" s="23" t="str">
        <f>IF(SUMPRODUCT($J$62:W$62,$J43:W43)&lt;0.5, "Pending", IF(W43&lt;0.5, "Complete", "In Progress"))</f>
        <v>Pending</v>
      </c>
      <c r="Y43" s="22">
        <v>0</v>
      </c>
      <c r="Z43" s="22">
        <f t="shared" ref="Z43" si="256">MAX(W43-Y43,0)</f>
        <v>3</v>
      </c>
      <c r="AA43" s="23" t="str">
        <f>IF(SUMPRODUCT($J$62:Z$62,$J43:Z43)&lt;0.5, "Pending", IF(Z43&lt;0.5, "Complete", "In Progress"))</f>
        <v>Pending</v>
      </c>
      <c r="AB43" s="22">
        <v>0</v>
      </c>
      <c r="AC43" s="22">
        <f t="shared" ref="AC43" si="257">MAX(Z43-AB43,0)</f>
        <v>3</v>
      </c>
      <c r="AD43" s="23" t="str">
        <f>IF(SUMPRODUCT($J$62:AC$62,$J43:AC43)&lt;0.5, "Pending", IF(AC43&lt;0.5, "Complete", "In Progress"))</f>
        <v>Pending</v>
      </c>
      <c r="AE43" s="22">
        <v>0</v>
      </c>
      <c r="AF43" s="22">
        <f t="shared" ref="AF43" si="258">MAX(AC43-AE43,0)</f>
        <v>3</v>
      </c>
      <c r="AG43" s="23" t="str">
        <f>IF(SUMPRODUCT($J$62:AF$62,$J43:AF43)&lt;0.5, "Pending", IF(AF43&lt;0.5, "Complete", "In Progress"))</f>
        <v>Pending</v>
      </c>
      <c r="AH43" s="22">
        <v>0</v>
      </c>
      <c r="AI43" s="22">
        <f t="shared" ref="AI43" si="259">MAX(AF43-AH43,0)</f>
        <v>3</v>
      </c>
      <c r="AJ43" s="23" t="str">
        <f>IF(SUMPRODUCT($J$62:AI$62,$J43:AI43)&lt;0.5, "Pending", IF(AI43&lt;0.5, "Complete", "In Progress"))</f>
        <v>Pending</v>
      </c>
      <c r="AK43" s="22">
        <v>0</v>
      </c>
      <c r="AL43" s="22">
        <f t="shared" ref="AL43" si="260">MAX(AI43-AK43,0)</f>
        <v>3</v>
      </c>
      <c r="AM43" s="23" t="str">
        <f>IF(SUMPRODUCT($J$62:AL$62,$J43:AL43)&lt;0.5, "Pending", IF(AL43&lt;0.5, "Complete", "In Progress"))</f>
        <v>Pending</v>
      </c>
      <c r="AN43" s="22">
        <v>0</v>
      </c>
      <c r="AO43" s="22">
        <f t="shared" ref="AO43" si="261">MAX(AL43-AN43,0)</f>
        <v>3</v>
      </c>
      <c r="AP43" s="23" t="str">
        <f>IF(SUMPRODUCT($J$62:AO$62,$J43:AO43)&lt;0.5, "Pending", IF(AO43&lt;0.5, "Complete", "In Progress"))</f>
        <v>Pending</v>
      </c>
      <c r="AQ43" s="22">
        <v>0</v>
      </c>
      <c r="AR43" s="22">
        <f t="shared" ref="AR43" si="262">MAX(AO43-AQ43,0)</f>
        <v>3</v>
      </c>
      <c r="AS43" s="23" t="str">
        <f>IF(SUMPRODUCT($J$62:AR$62,$J43:AR43)&lt;0.5, "Pending", IF(AR43&lt;0.5, "Complete", "In Progress"))</f>
        <v>Pending</v>
      </c>
      <c r="AT43" s="22">
        <v>0</v>
      </c>
      <c r="AU43" s="22">
        <f t="shared" ref="AU43" si="263">MAX(AR43-AT43,0)</f>
        <v>3</v>
      </c>
      <c r="AV43" s="23" t="str">
        <f>IF(SUMPRODUCT($J$62:AU$62,$J43:AU43)&lt;0.5, "Pending", IF(AU43&lt;0.5, "Complete", "In Progress"))</f>
        <v>Pending</v>
      </c>
      <c r="AW43" s="22">
        <v>0</v>
      </c>
      <c r="AX43" s="22">
        <f t="shared" ref="AX43" si="264">MAX(AU43-AW43,0)</f>
        <v>3</v>
      </c>
      <c r="AY43" s="23" t="str">
        <f>IF(SUMPRODUCT($J$62:AX$62,$J43:AX43)&lt;0.5, "Pending", IF(AX43&lt;0.5, "Complete", "In Progress"))</f>
        <v>Pending</v>
      </c>
      <c r="AZ43" s="22">
        <v>0</v>
      </c>
      <c r="BA43" s="22">
        <f t="shared" ref="BA43" si="265">MAX(AX43-AZ43,0)</f>
        <v>3</v>
      </c>
      <c r="BB43" s="23" t="str">
        <f>IF(SUMPRODUCT($J$62:BA$62,$J43:BA43)&lt;0.5, "Pending", IF(BA43&lt;0.5, "Complete", "In Progress"))</f>
        <v>Pending</v>
      </c>
      <c r="BC43" s="22">
        <v>0</v>
      </c>
      <c r="BD43" s="22">
        <f t="shared" ref="BD43" si="266">MAX(BA43-BC43,0)</f>
        <v>3</v>
      </c>
      <c r="BE43" s="23" t="str">
        <f>IF(SUMPRODUCT($J$62:BD$62,$J43:BD43)&lt;0.5, "Pending", IF(BD43&lt;0.5, "Complete", "In Progress"))</f>
        <v>Pending</v>
      </c>
      <c r="BF43" s="22">
        <v>0</v>
      </c>
      <c r="BG43" s="22">
        <f t="shared" ref="BG43" si="267">MAX(BD43-BF43,0)</f>
        <v>3</v>
      </c>
      <c r="BH43" s="23" t="str">
        <f>IF(SUMPRODUCT($J$62:BG$62,$J43:BG43)&lt;0.5, "Pending", IF(BG43&lt;0.5, "Complete", "In Progress"))</f>
        <v>Pending</v>
      </c>
      <c r="BI43" s="22">
        <v>0</v>
      </c>
      <c r="BJ43" s="22">
        <f t="shared" ref="BJ43" si="268">MAX(BG43-BI43,0)</f>
        <v>3</v>
      </c>
      <c r="BK43" s="23" t="str">
        <f>IF(SUMPRODUCT($J$62:BJ$62,$J43:BJ43)&lt;0.5, "Pending", IF(BJ43&lt;0.5, "Complete", "In Progress"))</f>
        <v>Pending</v>
      </c>
      <c r="BL43" s="22">
        <v>0</v>
      </c>
      <c r="BM43" s="22">
        <f t="shared" ref="BM43" si="269">MAX(BJ43-BL43,0)</f>
        <v>3</v>
      </c>
      <c r="BN43" s="23" t="str">
        <f>IF(SUMPRODUCT($J$62:BM$62,$J43:BM43)&lt;0.5, "Pending", IF(BM43&lt;0.5, "Complete", "In Progress"))</f>
        <v>Pending</v>
      </c>
      <c r="BO43" s="22">
        <v>0</v>
      </c>
      <c r="BP43" s="22">
        <f t="shared" ref="BP43" si="270">MAX(BM43-BO43,0)</f>
        <v>3</v>
      </c>
      <c r="BQ43" s="23" t="str">
        <f>IF(SUMPRODUCT($J$62:BP$62,$J43:BP43)&lt;0.5, "Pending", IF(BP43&lt;0.5, "Complete", "In Progress"))</f>
        <v>Pending</v>
      </c>
      <c r="BR43" s="22">
        <v>0</v>
      </c>
      <c r="BS43" s="22">
        <f t="shared" ref="BS43" si="271">MAX(BP43-BR43,0)</f>
        <v>3</v>
      </c>
      <c r="BT43" s="23" t="str">
        <f>IF(SUMPRODUCT($J$62:BS$62,$J43:BS43)&lt;0.5, "Pending", IF(BS43&lt;0.5, "Complete", "In Progress"))</f>
        <v>Pending</v>
      </c>
      <c r="BU43" s="22">
        <v>0</v>
      </c>
      <c r="BV43" s="22">
        <f t="shared" ref="BV43" si="272">MAX(BS43-BU43,0)</f>
        <v>3</v>
      </c>
      <c r="BW43" s="23" t="str">
        <f>IF(SUMPRODUCT($J$62:BV$62,$J43:BV43)&lt;0.5, "Pending", IF(BV43&lt;0.5, "Complete", "In Progress"))</f>
        <v>Pending</v>
      </c>
      <c r="BX43" s="22">
        <v>0</v>
      </c>
      <c r="BY43" s="22">
        <f t="shared" ref="BY43" si="273">MAX(BV43-BX43,0)</f>
        <v>3</v>
      </c>
      <c r="BZ43" s="23" t="str">
        <f>IF(SUMPRODUCT($J$62:BY$62,$J43:BY43)&lt;0.5, "Pending", IF(BY43&lt;0.5, "Complete", "In Progress"))</f>
        <v>Pending</v>
      </c>
      <c r="CA43" s="22">
        <v>0</v>
      </c>
      <c r="CB43" s="22">
        <f t="shared" ref="CB43" si="274">MAX(BY43-CA43,0)</f>
        <v>3</v>
      </c>
      <c r="CC43" s="23" t="str">
        <f>IF(SUMPRODUCT($J$62:CB$62,$J43:CB43)&lt;0.5, "Pending", IF(CB43&lt;0.5, "Complete", "In Progress"))</f>
        <v>Pending</v>
      </c>
      <c r="CD43" s="22">
        <v>0</v>
      </c>
      <c r="CE43" s="22">
        <f t="shared" ref="CE43" si="275">MAX(CB43-CD43,0)</f>
        <v>3</v>
      </c>
      <c r="CF43" s="23" t="str">
        <f>IF(SUMPRODUCT($J$62:CE$62,$J43:CE43)&lt;0.5, "Pending", IF(CE43&lt;0.5, "Complete", "In Progress"))</f>
        <v>Pending</v>
      </c>
      <c r="CG43" s="22">
        <v>0</v>
      </c>
      <c r="CH43" s="22">
        <f t="shared" ref="CH43" si="276">MAX(CE43-CG43,0)</f>
        <v>3</v>
      </c>
      <c r="CI43" s="23" t="str">
        <f>IF(SUMPRODUCT($J$62:CH$62,$J43:CH43)&lt;0.5, "Pending", IF(CH43&lt;0.5, "Complete", "In Progress"))</f>
        <v>Pending</v>
      </c>
      <c r="CJ43" s="22">
        <v>0</v>
      </c>
      <c r="CK43" s="22">
        <f t="shared" ref="CK43" si="277">MAX(CH43-CJ43,0)</f>
        <v>3</v>
      </c>
      <c r="CL43" s="23" t="str">
        <f>IF(SUMPRODUCT($J$62:CK$62,$J43:CK43)&lt;0.5, "Pending", IF(CK43&lt;0.5, "Complete", "In Progress"))</f>
        <v>Pending</v>
      </c>
      <c r="CM43" s="22">
        <v>0</v>
      </c>
      <c r="CN43" s="22">
        <f t="shared" ref="CN43" si="278">MAX(CK43-CM43,0)</f>
        <v>3</v>
      </c>
      <c r="CO43" s="23" t="str">
        <f>IF(SUMPRODUCT($J$62:CN$62,$J43:CN43)&lt;0.5, "Pending", IF(CN43&lt;0.5, "Complete", "In Progress"))</f>
        <v>Pending</v>
      </c>
      <c r="CP43" s="22">
        <v>0</v>
      </c>
      <c r="CQ43" s="22">
        <f t="shared" ref="CQ43" si="279">MAX(CN43-CP43,0)</f>
        <v>3</v>
      </c>
      <c r="CR43" s="23" t="str">
        <f>IF(SUMPRODUCT($J$62:CQ$62,$J43:CQ43)&lt;0.5, "Pending", IF(CQ43&lt;0.5, "Complete", "In Progress"))</f>
        <v>Pending</v>
      </c>
      <c r="CS43" s="22">
        <v>0</v>
      </c>
      <c r="CT43" s="22">
        <f t="shared" ref="CT43" si="280">MAX(CQ43-CS43,0)</f>
        <v>3</v>
      </c>
      <c r="CU43" s="23" t="str">
        <f>IF(SUMPRODUCT($J$62:CT$62,$J43:CT43)&lt;0.5, "Pending", IF(CT43&lt;0.5, "Complete", "In Progress"))</f>
        <v>Pending</v>
      </c>
      <c r="CV43" s="22">
        <v>0</v>
      </c>
      <c r="CW43" s="22">
        <f t="shared" ref="CW43" si="281">MAX(CT43-CV43,0)</f>
        <v>3</v>
      </c>
      <c r="CX43" s="23" t="str">
        <f>IF(SUMPRODUCT($J$62:CW$62,$J43:CW43)&lt;0.5, "Pending", IF(CW43&lt;0.5, "Complete", "In Progress"))</f>
        <v>Pending</v>
      </c>
      <c r="CY43" s="22">
        <v>0</v>
      </c>
      <c r="CZ43" s="22">
        <f t="shared" ref="CZ43" si="282">MAX(CW43-CY43,0)</f>
        <v>3</v>
      </c>
      <c r="DA43" s="23" t="str">
        <f>IF(SUMPRODUCT($J$62:CZ$62,$J43:CZ43)&lt;0.5, "Pending", IF(CZ43&lt;0.5, "Complete", "In Progress"))</f>
        <v>Pending</v>
      </c>
      <c r="DB43" s="22">
        <v>0</v>
      </c>
      <c r="DC43" s="22">
        <f t="shared" ref="DC43" si="283">MAX(CZ43-DB43,0)</f>
        <v>3</v>
      </c>
      <c r="DD43" s="23" t="str">
        <f>IF(SUMPRODUCT($J$62:DC$62,$J43:DC43)&lt;0.5, "Pending", IF(DC43&lt;0.5, "Complete", "In Progress"))</f>
        <v>Pending</v>
      </c>
      <c r="DE43" s="22">
        <v>0</v>
      </c>
      <c r="DF43" s="22">
        <f t="shared" ref="DF43" si="284">MAX(DC43-DE43,0)</f>
        <v>3</v>
      </c>
      <c r="DG43" s="23" t="str">
        <f>IF(SUMPRODUCT($J$62:DF$62,$J43:DF43)&lt;0.5, "Pending", IF(DF43&lt;0.5, "Complete", "In Progress"))</f>
        <v>Pending</v>
      </c>
      <c r="DH43" s="22">
        <v>0</v>
      </c>
      <c r="DI43" s="22">
        <f t="shared" ref="DI43" si="285">MAX(DF43-DH43,0)</f>
        <v>3</v>
      </c>
      <c r="DJ43" s="23" t="str">
        <f>IF(SUMPRODUCT($J$62:DI$62,$J43:DI43)&lt;0.5, "Pending", IF(DI43&lt;0.5, "Complete", "In Progress"))</f>
        <v>Pending</v>
      </c>
      <c r="DK43" s="22">
        <v>0</v>
      </c>
      <c r="DL43" s="22">
        <f t="shared" ref="DL43" si="286">MAX(DI43-DK43,0)</f>
        <v>3</v>
      </c>
      <c r="DM43" s="23" t="str">
        <f>IF(SUMPRODUCT($J$62:DL$62,$J43:DL43)&lt;0.5, "Pending", IF(DL43&lt;0.5, "Complete", "In Progress"))</f>
        <v>Pending</v>
      </c>
      <c r="DN43" s="22">
        <v>0</v>
      </c>
      <c r="DO43" s="22">
        <f t="shared" ref="DO43" si="287">MAX(DL43-DN43,0)</f>
        <v>3</v>
      </c>
      <c r="DP43" s="23" t="str">
        <f>IF(SUMPRODUCT($J$62:DO$62,$J43:DO43)&lt;0.5, "Pending", IF(DO43&lt;0.5, "Complete", "In Progress"))</f>
        <v>Pending</v>
      </c>
      <c r="DQ43" s="22">
        <v>0</v>
      </c>
      <c r="DR43" s="22">
        <f t="shared" ref="DR43" si="288">MAX(DO43-DQ43,0)</f>
        <v>3</v>
      </c>
      <c r="DS43" s="23" t="str">
        <f>IF(SUMPRODUCT($J$62:DR$62,$J43:DR43)&lt;0.5, "Pending", IF(DR43&lt;0.5, "Complete", "In Progress"))</f>
        <v>Pending</v>
      </c>
      <c r="DT43" s="22">
        <v>0</v>
      </c>
      <c r="DU43" s="22">
        <f t="shared" ref="DU43" si="289">MAX(DR43-DT43,0)</f>
        <v>3</v>
      </c>
      <c r="DV43" s="23" t="str">
        <f>IF(SUMPRODUCT($J$62:DU$62,$J43:DU43)&lt;0.5, "Pending", IF(DU43&lt;0.5, "Complete", "In Progress"))</f>
        <v>Pending</v>
      </c>
      <c r="DW43" s="22">
        <v>0</v>
      </c>
      <c r="DX43" s="22">
        <f t="shared" ref="DX43" si="290">MAX(DU43-DW43,0)</f>
        <v>3</v>
      </c>
      <c r="DY43" s="23" t="str">
        <f>IF(SUMPRODUCT($J$62:DX$62,$J43:DX43)&lt;0.5, "Pending", IF(DX43&lt;0.5, "Complete", "In Progress"))</f>
        <v>Pending</v>
      </c>
      <c r="DZ43" s="24"/>
      <c r="EA43" s="25">
        <f>SUMPRODUCT($H$62:DG$62,$H43:DG43)</f>
        <v>0</v>
      </c>
    </row>
    <row r="44" spans="1:131" x14ac:dyDescent="0.25">
      <c r="A44" s="16" t="s">
        <v>124</v>
      </c>
      <c r="B44" s="16" t="s">
        <v>152</v>
      </c>
      <c r="C44" s="16" t="s">
        <v>121</v>
      </c>
      <c r="D44" s="17">
        <v>13</v>
      </c>
      <c r="E44" s="199" t="s">
        <v>157</v>
      </c>
      <c r="F44" s="18" t="s">
        <v>129</v>
      </c>
      <c r="G44" s="19" t="str">
        <f t="shared" ca="1" si="0"/>
        <v>Pending</v>
      </c>
      <c r="H44" s="20">
        <v>1</v>
      </c>
      <c r="I44" s="21">
        <v>3</v>
      </c>
      <c r="J44" s="22">
        <v>0</v>
      </c>
      <c r="K44" s="22">
        <f t="shared" si="11"/>
        <v>3</v>
      </c>
      <c r="L44" s="23" t="str">
        <f>IF(SUMPRODUCT($J$62:K$62,$J44:K44)&lt;0.5, "Pending", IF(K44&lt;0.5, "Complete", "In Progress"))</f>
        <v>Pending</v>
      </c>
      <c r="M44" s="22">
        <v>0</v>
      </c>
      <c r="N44" s="22">
        <f t="shared" si="12"/>
        <v>3</v>
      </c>
      <c r="O44" s="23" t="str">
        <f>IF(SUMPRODUCT($J$62:N$62,$J44:N44)&lt;0.5, "Pending", IF(N44&lt;0.5, "Complete", "In Progress"))</f>
        <v>Pending</v>
      </c>
      <c r="P44" s="22">
        <v>0</v>
      </c>
      <c r="Q44" s="22">
        <f t="shared" si="13"/>
        <v>3</v>
      </c>
      <c r="R44" s="23" t="str">
        <f>IF(SUMPRODUCT($J$62:Q$62,$J44:Q44)&lt;0.5, "Pending", IF(Q44&lt;0.5, "Complete", "In Progress"))</f>
        <v>Pending</v>
      </c>
      <c r="S44" s="22">
        <v>0</v>
      </c>
      <c r="T44" s="22">
        <f t="shared" si="14"/>
        <v>3</v>
      </c>
      <c r="U44" s="23" t="str">
        <f>IF(SUMPRODUCT($J$62:T$62,$J44:T44)&lt;0.5, "Pending", IF(T44&lt;0.5, "Complete", "In Progress"))</f>
        <v>Pending</v>
      </c>
      <c r="V44" s="22">
        <v>0</v>
      </c>
      <c r="W44" s="22">
        <f t="shared" si="15"/>
        <v>3</v>
      </c>
      <c r="X44" s="23" t="str">
        <f>IF(SUMPRODUCT($J$62:W$62,$J44:W44)&lt;0.5, "Pending", IF(W44&lt;0.5, "Complete", "In Progress"))</f>
        <v>Pending</v>
      </c>
      <c r="Y44" s="22">
        <v>0</v>
      </c>
      <c r="Z44" s="22">
        <f t="shared" si="16"/>
        <v>3</v>
      </c>
      <c r="AA44" s="23" t="str">
        <f>IF(SUMPRODUCT($J$62:Z$62,$J44:Z44)&lt;0.5, "Pending", IF(Z44&lt;0.5, "Complete", "In Progress"))</f>
        <v>Pending</v>
      </c>
      <c r="AB44" s="22">
        <v>0</v>
      </c>
      <c r="AC44" s="22">
        <f t="shared" si="17"/>
        <v>3</v>
      </c>
      <c r="AD44" s="23" t="str">
        <f>IF(SUMPRODUCT($J$62:AC$62,$J44:AC44)&lt;0.5, "Pending", IF(AC44&lt;0.5, "Complete", "In Progress"))</f>
        <v>Pending</v>
      </c>
      <c r="AE44" s="22">
        <v>0</v>
      </c>
      <c r="AF44" s="22">
        <f t="shared" si="18"/>
        <v>3</v>
      </c>
      <c r="AG44" s="23" t="str">
        <f>IF(SUMPRODUCT($J$62:AF$62,$J44:AF44)&lt;0.5, "Pending", IF(AF44&lt;0.5, "Complete", "In Progress"))</f>
        <v>Pending</v>
      </c>
      <c r="AH44" s="22">
        <v>0</v>
      </c>
      <c r="AI44" s="22">
        <f t="shared" si="19"/>
        <v>3</v>
      </c>
      <c r="AJ44" s="23" t="str">
        <f>IF(SUMPRODUCT($J$62:AI$62,$J44:AI44)&lt;0.5, "Pending", IF(AI44&lt;0.5, "Complete", "In Progress"))</f>
        <v>Pending</v>
      </c>
      <c r="AK44" s="22">
        <v>0</v>
      </c>
      <c r="AL44" s="22">
        <f t="shared" si="20"/>
        <v>3</v>
      </c>
      <c r="AM44" s="23" t="str">
        <f>IF(SUMPRODUCT($J$62:AL$62,$J44:AL44)&lt;0.5, "Pending", IF(AL44&lt;0.5, "Complete", "In Progress"))</f>
        <v>Pending</v>
      </c>
      <c r="AN44" s="22">
        <v>0</v>
      </c>
      <c r="AO44" s="22">
        <f t="shared" si="21"/>
        <v>3</v>
      </c>
      <c r="AP44" s="23" t="str">
        <f>IF(SUMPRODUCT($J$62:AO$62,$J44:AO44)&lt;0.5, "Pending", IF(AO44&lt;0.5, "Complete", "In Progress"))</f>
        <v>Pending</v>
      </c>
      <c r="AQ44" s="22">
        <v>0</v>
      </c>
      <c r="AR44" s="22">
        <f t="shared" si="22"/>
        <v>3</v>
      </c>
      <c r="AS44" s="23" t="str">
        <f>IF(SUMPRODUCT($J$62:AR$62,$J44:AR44)&lt;0.5, "Pending", IF(AR44&lt;0.5, "Complete", "In Progress"))</f>
        <v>Pending</v>
      </c>
      <c r="AT44" s="22">
        <v>0</v>
      </c>
      <c r="AU44" s="22">
        <f t="shared" si="23"/>
        <v>3</v>
      </c>
      <c r="AV44" s="23" t="str">
        <f>IF(SUMPRODUCT($J$62:AU$62,$J44:AU44)&lt;0.5, "Pending", IF(AU44&lt;0.5, "Complete", "In Progress"))</f>
        <v>Pending</v>
      </c>
      <c r="AW44" s="22">
        <v>0</v>
      </c>
      <c r="AX44" s="22">
        <f t="shared" si="24"/>
        <v>3</v>
      </c>
      <c r="AY44" s="23" t="str">
        <f>IF(SUMPRODUCT($J$62:AX$62,$J44:AX44)&lt;0.5, "Pending", IF(AX44&lt;0.5, "Complete", "In Progress"))</f>
        <v>Pending</v>
      </c>
      <c r="AZ44" s="22">
        <v>0</v>
      </c>
      <c r="BA44" s="22">
        <f t="shared" si="25"/>
        <v>3</v>
      </c>
      <c r="BB44" s="23" t="str">
        <f>IF(SUMPRODUCT($J$62:BA$62,$J44:BA44)&lt;0.5, "Pending", IF(BA44&lt;0.5, "Complete", "In Progress"))</f>
        <v>Pending</v>
      </c>
      <c r="BC44" s="22">
        <v>0</v>
      </c>
      <c r="BD44" s="22">
        <f t="shared" si="26"/>
        <v>3</v>
      </c>
      <c r="BE44" s="23" t="str">
        <f>IF(SUMPRODUCT($J$62:BD$62,$J44:BD44)&lt;0.5, "Pending", IF(BD44&lt;0.5, "Complete", "In Progress"))</f>
        <v>Pending</v>
      </c>
      <c r="BF44" s="22">
        <v>0</v>
      </c>
      <c r="BG44" s="22">
        <f t="shared" si="27"/>
        <v>3</v>
      </c>
      <c r="BH44" s="23" t="str">
        <f>IF(SUMPRODUCT($J$62:BG$62,$J44:BG44)&lt;0.5, "Pending", IF(BG44&lt;0.5, "Complete", "In Progress"))</f>
        <v>Pending</v>
      </c>
      <c r="BI44" s="22">
        <v>0</v>
      </c>
      <c r="BJ44" s="22">
        <f t="shared" si="28"/>
        <v>3</v>
      </c>
      <c r="BK44" s="23" t="str">
        <f>IF(SUMPRODUCT($J$62:BJ$62,$J44:BJ44)&lt;0.5, "Pending", IF(BJ44&lt;0.5, "Complete", "In Progress"))</f>
        <v>Pending</v>
      </c>
      <c r="BL44" s="22">
        <v>0</v>
      </c>
      <c r="BM44" s="22">
        <f t="shared" si="29"/>
        <v>3</v>
      </c>
      <c r="BN44" s="23" t="str">
        <f>IF(SUMPRODUCT($J$62:BM$62,$J44:BM44)&lt;0.5, "Pending", IF(BM44&lt;0.5, "Complete", "In Progress"))</f>
        <v>Pending</v>
      </c>
      <c r="BO44" s="22">
        <v>0</v>
      </c>
      <c r="BP44" s="22">
        <f t="shared" si="30"/>
        <v>3</v>
      </c>
      <c r="BQ44" s="23" t="str">
        <f>IF(SUMPRODUCT($J$62:BP$62,$J44:BP44)&lt;0.5, "Pending", IF(BP44&lt;0.5, "Complete", "In Progress"))</f>
        <v>Pending</v>
      </c>
      <c r="BR44" s="22">
        <v>0</v>
      </c>
      <c r="BS44" s="22">
        <f t="shared" si="31"/>
        <v>3</v>
      </c>
      <c r="BT44" s="23" t="str">
        <f>IF(SUMPRODUCT($J$62:BS$62,$J44:BS44)&lt;0.5, "Pending", IF(BS44&lt;0.5, "Complete", "In Progress"))</f>
        <v>Pending</v>
      </c>
      <c r="BU44" s="22">
        <v>0</v>
      </c>
      <c r="BV44" s="22">
        <f t="shared" si="32"/>
        <v>3</v>
      </c>
      <c r="BW44" s="23" t="str">
        <f>IF(SUMPRODUCT($J$62:BV$62,$J44:BV44)&lt;0.5, "Pending", IF(BV44&lt;0.5, "Complete", "In Progress"))</f>
        <v>Pending</v>
      </c>
      <c r="BX44" s="22">
        <v>0</v>
      </c>
      <c r="BY44" s="22">
        <f t="shared" si="33"/>
        <v>3</v>
      </c>
      <c r="BZ44" s="23" t="str">
        <f>IF(SUMPRODUCT($J$62:BY$62,$J44:BY44)&lt;0.5, "Pending", IF(BY44&lt;0.5, "Complete", "In Progress"))</f>
        <v>Pending</v>
      </c>
      <c r="CA44" s="22">
        <v>0</v>
      </c>
      <c r="CB44" s="22">
        <f t="shared" si="34"/>
        <v>3</v>
      </c>
      <c r="CC44" s="23" t="str">
        <f>IF(SUMPRODUCT($J$62:CB$62,$J44:CB44)&lt;0.5, "Pending", IF(CB44&lt;0.5, "Complete", "In Progress"))</f>
        <v>Pending</v>
      </c>
      <c r="CD44" s="22">
        <v>0</v>
      </c>
      <c r="CE44" s="22">
        <f t="shared" si="35"/>
        <v>3</v>
      </c>
      <c r="CF44" s="23" t="str">
        <f>IF(SUMPRODUCT($J$62:CE$62,$J44:CE44)&lt;0.5, "Pending", IF(CE44&lt;0.5, "Complete", "In Progress"))</f>
        <v>Pending</v>
      </c>
      <c r="CG44" s="22">
        <v>0</v>
      </c>
      <c r="CH44" s="22">
        <f t="shared" si="36"/>
        <v>3</v>
      </c>
      <c r="CI44" s="23" t="str">
        <f>IF(SUMPRODUCT($J$62:CH$62,$J44:CH44)&lt;0.5, "Pending", IF(CH44&lt;0.5, "Complete", "In Progress"))</f>
        <v>Pending</v>
      </c>
      <c r="CJ44" s="22">
        <v>0</v>
      </c>
      <c r="CK44" s="22">
        <f t="shared" si="37"/>
        <v>3</v>
      </c>
      <c r="CL44" s="23" t="str">
        <f>IF(SUMPRODUCT($J$62:CK$62,$J44:CK44)&lt;0.5, "Pending", IF(CK44&lt;0.5, "Complete", "In Progress"))</f>
        <v>Pending</v>
      </c>
      <c r="CM44" s="22">
        <v>0</v>
      </c>
      <c r="CN44" s="22">
        <f t="shared" si="38"/>
        <v>3</v>
      </c>
      <c r="CO44" s="23" t="str">
        <f>IF(SUMPRODUCT($J$62:CN$62,$J44:CN44)&lt;0.5, "Pending", IF(CN44&lt;0.5, "Complete", "In Progress"))</f>
        <v>Pending</v>
      </c>
      <c r="CP44" s="22">
        <v>0</v>
      </c>
      <c r="CQ44" s="22">
        <f t="shared" si="39"/>
        <v>3</v>
      </c>
      <c r="CR44" s="23" t="str">
        <f>IF(SUMPRODUCT($J$62:CQ$62,$J44:CQ44)&lt;0.5, "Pending", IF(CQ44&lt;0.5, "Complete", "In Progress"))</f>
        <v>Pending</v>
      </c>
      <c r="CS44" s="22">
        <v>0</v>
      </c>
      <c r="CT44" s="22">
        <f t="shared" si="40"/>
        <v>3</v>
      </c>
      <c r="CU44" s="23" t="str">
        <f>IF(SUMPRODUCT($J$62:CT$62,$J44:CT44)&lt;0.5, "Pending", IF(CT44&lt;0.5, "Complete", "In Progress"))</f>
        <v>Pending</v>
      </c>
      <c r="CV44" s="22">
        <v>0</v>
      </c>
      <c r="CW44" s="22">
        <f t="shared" si="41"/>
        <v>3</v>
      </c>
      <c r="CX44" s="23" t="str">
        <f>IF(SUMPRODUCT($J$62:CW$62,$J44:CW44)&lt;0.5, "Pending", IF(CW44&lt;0.5, "Complete", "In Progress"))</f>
        <v>Pending</v>
      </c>
      <c r="CY44" s="22">
        <v>0</v>
      </c>
      <c r="CZ44" s="22">
        <f t="shared" si="42"/>
        <v>3</v>
      </c>
      <c r="DA44" s="23" t="str">
        <f>IF(SUMPRODUCT($J$62:CZ$62,$J44:CZ44)&lt;0.5, "Pending", IF(CZ44&lt;0.5, "Complete", "In Progress"))</f>
        <v>Pending</v>
      </c>
      <c r="DB44" s="22">
        <v>0</v>
      </c>
      <c r="DC44" s="22">
        <f t="shared" si="43"/>
        <v>3</v>
      </c>
      <c r="DD44" s="23" t="str">
        <f>IF(SUMPRODUCT($J$62:DC$62,$J44:DC44)&lt;0.5, "Pending", IF(DC44&lt;0.5, "Complete", "In Progress"))</f>
        <v>Pending</v>
      </c>
      <c r="DE44" s="22">
        <v>0</v>
      </c>
      <c r="DF44" s="22">
        <f t="shared" si="44"/>
        <v>3</v>
      </c>
      <c r="DG44" s="23" t="str">
        <f>IF(SUMPRODUCT($J$62:DF$62,$J44:DF44)&lt;0.5, "Pending", IF(DF44&lt;0.5, "Complete", "In Progress"))</f>
        <v>Pending</v>
      </c>
      <c r="DH44" s="22">
        <v>0</v>
      </c>
      <c r="DI44" s="22">
        <f t="shared" si="45"/>
        <v>3</v>
      </c>
      <c r="DJ44" s="23" t="str">
        <f>IF(SUMPRODUCT($J$62:DI$62,$J44:DI44)&lt;0.5, "Pending", IF(DI44&lt;0.5, "Complete", "In Progress"))</f>
        <v>Pending</v>
      </c>
      <c r="DK44" s="22">
        <v>0</v>
      </c>
      <c r="DL44" s="22">
        <f t="shared" si="46"/>
        <v>3</v>
      </c>
      <c r="DM44" s="23" t="str">
        <f>IF(SUMPRODUCT($J$62:DL$62,$J44:DL44)&lt;0.5, "Pending", IF(DL44&lt;0.5, "Complete", "In Progress"))</f>
        <v>Pending</v>
      </c>
      <c r="DN44" s="22">
        <v>0</v>
      </c>
      <c r="DO44" s="22">
        <f t="shared" si="47"/>
        <v>3</v>
      </c>
      <c r="DP44" s="23" t="str">
        <f>IF(SUMPRODUCT($J$62:DO$62,$J44:DO44)&lt;0.5, "Pending", IF(DO44&lt;0.5, "Complete", "In Progress"))</f>
        <v>Pending</v>
      </c>
      <c r="DQ44" s="22">
        <v>0</v>
      </c>
      <c r="DR44" s="22">
        <f t="shared" si="48"/>
        <v>3</v>
      </c>
      <c r="DS44" s="23" t="str">
        <f>IF(SUMPRODUCT($J$62:DR$62,$J44:DR44)&lt;0.5, "Pending", IF(DR44&lt;0.5, "Complete", "In Progress"))</f>
        <v>Pending</v>
      </c>
      <c r="DT44" s="22">
        <v>0</v>
      </c>
      <c r="DU44" s="22">
        <f t="shared" si="49"/>
        <v>3</v>
      </c>
      <c r="DV44" s="23" t="str">
        <f>IF(SUMPRODUCT($J$62:DU$62,$J44:DU44)&lt;0.5, "Pending", IF(DU44&lt;0.5, "Complete", "In Progress"))</f>
        <v>Pending</v>
      </c>
      <c r="DW44" s="22">
        <v>0</v>
      </c>
      <c r="DX44" s="22">
        <f t="shared" si="50"/>
        <v>3</v>
      </c>
      <c r="DY44" s="23" t="str">
        <f>IF(SUMPRODUCT($J$62:DX$62,$J44:DX44)&lt;0.5, "Pending", IF(DX44&lt;0.5, "Complete", "In Progress"))</f>
        <v>Pending</v>
      </c>
      <c r="DZ44" s="24"/>
      <c r="EA44" s="25">
        <f>SUMPRODUCT($H$62:DG$62,$H44:DG44)</f>
        <v>0</v>
      </c>
    </row>
    <row r="45" spans="1:131" x14ac:dyDescent="0.25">
      <c r="A45" s="16" t="s">
        <v>119</v>
      </c>
      <c r="B45" s="16" t="s">
        <v>152</v>
      </c>
      <c r="C45" s="16" t="s">
        <v>121</v>
      </c>
      <c r="D45" s="17">
        <v>14</v>
      </c>
      <c r="E45" s="199" t="s">
        <v>158</v>
      </c>
      <c r="F45" s="18" t="s">
        <v>123</v>
      </c>
      <c r="G45" s="19" t="str">
        <f t="shared" ca="1" si="0"/>
        <v>Pending</v>
      </c>
      <c r="H45" s="20">
        <v>1</v>
      </c>
      <c r="I45" s="21">
        <v>20</v>
      </c>
      <c r="J45" s="22">
        <v>0</v>
      </c>
      <c r="K45" s="22">
        <f t="shared" si="11"/>
        <v>20</v>
      </c>
      <c r="L45" s="23" t="str">
        <f>IF(SUMPRODUCT($J$62:K$62,$J45:K45)&lt;0.5, "Pending", IF(K45&lt;0.5, "Complete", "In Progress"))</f>
        <v>Pending</v>
      </c>
      <c r="M45" s="22">
        <v>0</v>
      </c>
      <c r="N45" s="22">
        <f t="shared" si="12"/>
        <v>20</v>
      </c>
      <c r="O45" s="23" t="str">
        <f>IF(SUMPRODUCT($J$62:N$62,$J45:N45)&lt;0.5, "Pending", IF(N45&lt;0.5, "Complete", "In Progress"))</f>
        <v>Pending</v>
      </c>
      <c r="P45" s="22">
        <v>0</v>
      </c>
      <c r="Q45" s="22">
        <f t="shared" si="13"/>
        <v>20</v>
      </c>
      <c r="R45" s="23" t="str">
        <f>IF(SUMPRODUCT($J$62:Q$62,$J45:Q45)&lt;0.5, "Pending", IF(Q45&lt;0.5, "Complete", "In Progress"))</f>
        <v>Pending</v>
      </c>
      <c r="S45" s="22">
        <v>0</v>
      </c>
      <c r="T45" s="22">
        <f t="shared" si="14"/>
        <v>20</v>
      </c>
      <c r="U45" s="23" t="str">
        <f>IF(SUMPRODUCT($J$62:T$62,$J45:T45)&lt;0.5, "Pending", IF(T45&lt;0.5, "Complete", "In Progress"))</f>
        <v>Pending</v>
      </c>
      <c r="V45" s="22">
        <v>0</v>
      </c>
      <c r="W45" s="22">
        <f t="shared" si="15"/>
        <v>20</v>
      </c>
      <c r="X45" s="23" t="str">
        <f>IF(SUMPRODUCT($J$62:W$62,$J45:W45)&lt;0.5, "Pending", IF(W45&lt;0.5, "Complete", "In Progress"))</f>
        <v>Pending</v>
      </c>
      <c r="Y45" s="22">
        <v>0</v>
      </c>
      <c r="Z45" s="22">
        <f t="shared" si="16"/>
        <v>20</v>
      </c>
      <c r="AA45" s="23" t="str">
        <f>IF(SUMPRODUCT($J$62:Z$62,$J45:Z45)&lt;0.5, "Pending", IF(Z45&lt;0.5, "Complete", "In Progress"))</f>
        <v>Pending</v>
      </c>
      <c r="AB45" s="22">
        <v>0</v>
      </c>
      <c r="AC45" s="22">
        <f t="shared" si="17"/>
        <v>20</v>
      </c>
      <c r="AD45" s="23" t="str">
        <f>IF(SUMPRODUCT($J$62:AC$62,$J45:AC45)&lt;0.5, "Pending", IF(AC45&lt;0.5, "Complete", "In Progress"))</f>
        <v>Pending</v>
      </c>
      <c r="AE45" s="22">
        <v>0</v>
      </c>
      <c r="AF45" s="22">
        <f t="shared" si="18"/>
        <v>20</v>
      </c>
      <c r="AG45" s="23" t="str">
        <f>IF(SUMPRODUCT($J$62:AF$62,$J45:AF45)&lt;0.5, "Pending", IF(AF45&lt;0.5, "Complete", "In Progress"))</f>
        <v>Pending</v>
      </c>
      <c r="AH45" s="22">
        <v>0</v>
      </c>
      <c r="AI45" s="22">
        <f t="shared" si="19"/>
        <v>20</v>
      </c>
      <c r="AJ45" s="23" t="str">
        <f>IF(SUMPRODUCT($J$62:AI$62,$J45:AI45)&lt;0.5, "Pending", IF(AI45&lt;0.5, "Complete", "In Progress"))</f>
        <v>Pending</v>
      </c>
      <c r="AK45" s="22">
        <v>0</v>
      </c>
      <c r="AL45" s="22">
        <f t="shared" si="20"/>
        <v>20</v>
      </c>
      <c r="AM45" s="23" t="str">
        <f>IF(SUMPRODUCT($J$62:AL$62,$J45:AL45)&lt;0.5, "Pending", IF(AL45&lt;0.5, "Complete", "In Progress"))</f>
        <v>Pending</v>
      </c>
      <c r="AN45" s="22">
        <v>0</v>
      </c>
      <c r="AO45" s="22">
        <f t="shared" si="21"/>
        <v>20</v>
      </c>
      <c r="AP45" s="23" t="str">
        <f>IF(SUMPRODUCT($J$62:AO$62,$J45:AO45)&lt;0.5, "Pending", IF(AO45&lt;0.5, "Complete", "In Progress"))</f>
        <v>Pending</v>
      </c>
      <c r="AQ45" s="22">
        <v>0</v>
      </c>
      <c r="AR45" s="22">
        <f t="shared" si="22"/>
        <v>20</v>
      </c>
      <c r="AS45" s="23" t="str">
        <f>IF(SUMPRODUCT($J$62:AR$62,$J45:AR45)&lt;0.5, "Pending", IF(AR45&lt;0.5, "Complete", "In Progress"))</f>
        <v>Pending</v>
      </c>
      <c r="AT45" s="22">
        <v>0</v>
      </c>
      <c r="AU45" s="22">
        <f t="shared" si="23"/>
        <v>20</v>
      </c>
      <c r="AV45" s="23" t="str">
        <f>IF(SUMPRODUCT($J$62:AU$62,$J45:AU45)&lt;0.5, "Pending", IF(AU45&lt;0.5, "Complete", "In Progress"))</f>
        <v>Pending</v>
      </c>
      <c r="AW45" s="22">
        <v>0</v>
      </c>
      <c r="AX45" s="22">
        <f t="shared" si="24"/>
        <v>20</v>
      </c>
      <c r="AY45" s="23" t="str">
        <f>IF(SUMPRODUCT($J$62:AX$62,$J45:AX45)&lt;0.5, "Pending", IF(AX45&lt;0.5, "Complete", "In Progress"))</f>
        <v>Pending</v>
      </c>
      <c r="AZ45" s="22">
        <v>0</v>
      </c>
      <c r="BA45" s="22">
        <f t="shared" si="25"/>
        <v>20</v>
      </c>
      <c r="BB45" s="23" t="str">
        <f>IF(SUMPRODUCT($J$62:BA$62,$J45:BA45)&lt;0.5, "Pending", IF(BA45&lt;0.5, "Complete", "In Progress"))</f>
        <v>Pending</v>
      </c>
      <c r="BC45" s="22">
        <v>0</v>
      </c>
      <c r="BD45" s="22">
        <f t="shared" si="26"/>
        <v>20</v>
      </c>
      <c r="BE45" s="23" t="str">
        <f>IF(SUMPRODUCT($J$62:BD$62,$J45:BD45)&lt;0.5, "Pending", IF(BD45&lt;0.5, "Complete", "In Progress"))</f>
        <v>Pending</v>
      </c>
      <c r="BF45" s="22">
        <v>0</v>
      </c>
      <c r="BG45" s="22">
        <f t="shared" si="27"/>
        <v>20</v>
      </c>
      <c r="BH45" s="23" t="str">
        <f>IF(SUMPRODUCT($J$62:BG$62,$J45:BG45)&lt;0.5, "Pending", IF(BG45&lt;0.5, "Complete", "In Progress"))</f>
        <v>Pending</v>
      </c>
      <c r="BI45" s="22">
        <v>0</v>
      </c>
      <c r="BJ45" s="22">
        <f t="shared" si="28"/>
        <v>20</v>
      </c>
      <c r="BK45" s="23" t="str">
        <f>IF(SUMPRODUCT($J$62:BJ$62,$J45:BJ45)&lt;0.5, "Pending", IF(BJ45&lt;0.5, "Complete", "In Progress"))</f>
        <v>Pending</v>
      </c>
      <c r="BL45" s="22">
        <v>0</v>
      </c>
      <c r="BM45" s="22">
        <f t="shared" si="29"/>
        <v>20</v>
      </c>
      <c r="BN45" s="23" t="str">
        <f>IF(SUMPRODUCT($J$62:BM$62,$J45:BM45)&lt;0.5, "Pending", IF(BM45&lt;0.5, "Complete", "In Progress"))</f>
        <v>Pending</v>
      </c>
      <c r="BO45" s="22">
        <v>0</v>
      </c>
      <c r="BP45" s="22">
        <f t="shared" si="30"/>
        <v>20</v>
      </c>
      <c r="BQ45" s="23" t="str">
        <f>IF(SUMPRODUCT($J$62:BP$62,$J45:BP45)&lt;0.5, "Pending", IF(BP45&lt;0.5, "Complete", "In Progress"))</f>
        <v>Pending</v>
      </c>
      <c r="BR45" s="22">
        <v>0</v>
      </c>
      <c r="BS45" s="22">
        <f t="shared" si="31"/>
        <v>20</v>
      </c>
      <c r="BT45" s="23" t="str">
        <f>IF(SUMPRODUCT($J$62:BS$62,$J45:BS45)&lt;0.5, "Pending", IF(BS45&lt;0.5, "Complete", "In Progress"))</f>
        <v>Pending</v>
      </c>
      <c r="BU45" s="22">
        <v>0</v>
      </c>
      <c r="BV45" s="22">
        <f t="shared" si="32"/>
        <v>20</v>
      </c>
      <c r="BW45" s="23" t="str">
        <f>IF(SUMPRODUCT($J$62:BV$62,$J45:BV45)&lt;0.5, "Pending", IF(BV45&lt;0.5, "Complete", "In Progress"))</f>
        <v>Pending</v>
      </c>
      <c r="BX45" s="22">
        <v>0</v>
      </c>
      <c r="BY45" s="22">
        <f t="shared" si="33"/>
        <v>20</v>
      </c>
      <c r="BZ45" s="23" t="str">
        <f>IF(SUMPRODUCT($J$62:BY$62,$J45:BY45)&lt;0.5, "Pending", IF(BY45&lt;0.5, "Complete", "In Progress"))</f>
        <v>Pending</v>
      </c>
      <c r="CA45" s="22">
        <v>0</v>
      </c>
      <c r="CB45" s="22">
        <f t="shared" si="34"/>
        <v>20</v>
      </c>
      <c r="CC45" s="23" t="str">
        <f>IF(SUMPRODUCT($J$62:CB$62,$J45:CB45)&lt;0.5, "Pending", IF(CB45&lt;0.5, "Complete", "In Progress"))</f>
        <v>Pending</v>
      </c>
      <c r="CD45" s="22">
        <v>0</v>
      </c>
      <c r="CE45" s="22">
        <f t="shared" si="35"/>
        <v>20</v>
      </c>
      <c r="CF45" s="23" t="str">
        <f>IF(SUMPRODUCT($J$62:CE$62,$J45:CE45)&lt;0.5, "Pending", IF(CE45&lt;0.5, "Complete", "In Progress"))</f>
        <v>Pending</v>
      </c>
      <c r="CG45" s="22">
        <v>0</v>
      </c>
      <c r="CH45" s="22">
        <f t="shared" si="36"/>
        <v>20</v>
      </c>
      <c r="CI45" s="23" t="str">
        <f>IF(SUMPRODUCT($J$62:CH$62,$J45:CH45)&lt;0.5, "Pending", IF(CH45&lt;0.5, "Complete", "In Progress"))</f>
        <v>Pending</v>
      </c>
      <c r="CJ45" s="22">
        <v>0</v>
      </c>
      <c r="CK45" s="22">
        <f t="shared" si="37"/>
        <v>20</v>
      </c>
      <c r="CL45" s="23" t="str">
        <f>IF(SUMPRODUCT($J$62:CK$62,$J45:CK45)&lt;0.5, "Pending", IF(CK45&lt;0.5, "Complete", "In Progress"))</f>
        <v>Pending</v>
      </c>
      <c r="CM45" s="22">
        <v>0</v>
      </c>
      <c r="CN45" s="22">
        <f t="shared" si="38"/>
        <v>20</v>
      </c>
      <c r="CO45" s="23" t="str">
        <f>IF(SUMPRODUCT($J$62:CN$62,$J45:CN45)&lt;0.5, "Pending", IF(CN45&lt;0.5, "Complete", "In Progress"))</f>
        <v>Pending</v>
      </c>
      <c r="CP45" s="22">
        <v>0</v>
      </c>
      <c r="CQ45" s="22">
        <f t="shared" si="39"/>
        <v>20</v>
      </c>
      <c r="CR45" s="23" t="str">
        <f>IF(SUMPRODUCT($J$62:CQ$62,$J45:CQ45)&lt;0.5, "Pending", IF(CQ45&lt;0.5, "Complete", "In Progress"))</f>
        <v>Pending</v>
      </c>
      <c r="CS45" s="22">
        <v>0</v>
      </c>
      <c r="CT45" s="22">
        <f t="shared" si="40"/>
        <v>20</v>
      </c>
      <c r="CU45" s="23" t="str">
        <f>IF(SUMPRODUCT($J$62:CT$62,$J45:CT45)&lt;0.5, "Pending", IF(CT45&lt;0.5, "Complete", "In Progress"))</f>
        <v>Pending</v>
      </c>
      <c r="CV45" s="22">
        <v>0</v>
      </c>
      <c r="CW45" s="22">
        <f t="shared" si="41"/>
        <v>20</v>
      </c>
      <c r="CX45" s="23" t="str">
        <f>IF(SUMPRODUCT($J$62:CW$62,$J45:CW45)&lt;0.5, "Pending", IF(CW45&lt;0.5, "Complete", "In Progress"))</f>
        <v>Pending</v>
      </c>
      <c r="CY45" s="22">
        <v>0</v>
      </c>
      <c r="CZ45" s="22">
        <f t="shared" si="42"/>
        <v>20</v>
      </c>
      <c r="DA45" s="23" t="str">
        <f>IF(SUMPRODUCT($J$62:CZ$62,$J45:CZ45)&lt;0.5, "Pending", IF(CZ45&lt;0.5, "Complete", "In Progress"))</f>
        <v>Pending</v>
      </c>
      <c r="DB45" s="22">
        <v>0</v>
      </c>
      <c r="DC45" s="22">
        <f t="shared" si="43"/>
        <v>20</v>
      </c>
      <c r="DD45" s="23" t="str">
        <f>IF(SUMPRODUCT($J$62:DC$62,$J45:DC45)&lt;0.5, "Pending", IF(DC45&lt;0.5, "Complete", "In Progress"))</f>
        <v>Pending</v>
      </c>
      <c r="DE45" s="22">
        <v>0</v>
      </c>
      <c r="DF45" s="22">
        <f t="shared" si="44"/>
        <v>20</v>
      </c>
      <c r="DG45" s="23" t="str">
        <f>IF(SUMPRODUCT($J$62:DF$62,$J45:DF45)&lt;0.5, "Pending", IF(DF45&lt;0.5, "Complete", "In Progress"))</f>
        <v>Pending</v>
      </c>
      <c r="DH45" s="22">
        <v>0</v>
      </c>
      <c r="DI45" s="22">
        <f t="shared" si="45"/>
        <v>20</v>
      </c>
      <c r="DJ45" s="23" t="str">
        <f>IF(SUMPRODUCT($J$62:DI$62,$J45:DI45)&lt;0.5, "Pending", IF(DI45&lt;0.5, "Complete", "In Progress"))</f>
        <v>Pending</v>
      </c>
      <c r="DK45" s="22">
        <v>0</v>
      </c>
      <c r="DL45" s="22">
        <f t="shared" si="46"/>
        <v>20</v>
      </c>
      <c r="DM45" s="23" t="str">
        <f>IF(SUMPRODUCT($J$62:DL$62,$J45:DL45)&lt;0.5, "Pending", IF(DL45&lt;0.5, "Complete", "In Progress"))</f>
        <v>Pending</v>
      </c>
      <c r="DN45" s="22">
        <v>0</v>
      </c>
      <c r="DO45" s="22">
        <f t="shared" si="47"/>
        <v>20</v>
      </c>
      <c r="DP45" s="23" t="str">
        <f>IF(SUMPRODUCT($J$62:DO$62,$J45:DO45)&lt;0.5, "Pending", IF(DO45&lt;0.5, "Complete", "In Progress"))</f>
        <v>Pending</v>
      </c>
      <c r="DQ45" s="22">
        <v>0</v>
      </c>
      <c r="DR45" s="22">
        <f t="shared" si="48"/>
        <v>20</v>
      </c>
      <c r="DS45" s="23" t="str">
        <f>IF(SUMPRODUCT($J$62:DR$62,$J45:DR45)&lt;0.5, "Pending", IF(DR45&lt;0.5, "Complete", "In Progress"))</f>
        <v>Pending</v>
      </c>
      <c r="DT45" s="22">
        <v>0</v>
      </c>
      <c r="DU45" s="22">
        <f t="shared" si="49"/>
        <v>20</v>
      </c>
      <c r="DV45" s="23" t="str">
        <f>IF(SUMPRODUCT($J$62:DU$62,$J45:DU45)&lt;0.5, "Pending", IF(DU45&lt;0.5, "Complete", "In Progress"))</f>
        <v>Pending</v>
      </c>
      <c r="DW45" s="22">
        <v>0</v>
      </c>
      <c r="DX45" s="22">
        <f t="shared" si="50"/>
        <v>20</v>
      </c>
      <c r="DY45" s="23" t="str">
        <f>IF(SUMPRODUCT($J$62:DX$62,$J45:DX45)&lt;0.5, "Pending", IF(DX45&lt;0.5, "Complete", "In Progress"))</f>
        <v>Pending</v>
      </c>
      <c r="DZ45" s="24"/>
      <c r="EA45" s="25">
        <f>SUMPRODUCT($H$62:DG$62,$H45:DG45)</f>
        <v>0</v>
      </c>
    </row>
    <row r="46" spans="1:131" x14ac:dyDescent="0.25">
      <c r="A46" s="16" t="s">
        <v>119</v>
      </c>
      <c r="B46" s="16" t="s">
        <v>152</v>
      </c>
      <c r="C46" s="16" t="s">
        <v>121</v>
      </c>
      <c r="D46" s="17">
        <v>14</v>
      </c>
      <c r="E46" s="199" t="s">
        <v>158</v>
      </c>
      <c r="F46" s="18" t="s">
        <v>129</v>
      </c>
      <c r="G46" s="19" t="str">
        <f t="shared" ca="1" si="0"/>
        <v>Pending</v>
      </c>
      <c r="H46" s="20">
        <v>1</v>
      </c>
      <c r="I46" s="21">
        <v>20</v>
      </c>
      <c r="J46" s="22">
        <v>0</v>
      </c>
      <c r="K46" s="22">
        <f t="shared" si="11"/>
        <v>20</v>
      </c>
      <c r="L46" s="23" t="str">
        <f>IF(SUMPRODUCT($J$62:K$62,$J46:K46)&lt;0.5, "Pending", IF(K46&lt;0.5, "Complete", "In Progress"))</f>
        <v>Pending</v>
      </c>
      <c r="M46" s="22">
        <v>0</v>
      </c>
      <c r="N46" s="22">
        <f t="shared" si="12"/>
        <v>20</v>
      </c>
      <c r="O46" s="23" t="str">
        <f>IF(SUMPRODUCT($J$62:N$62,$J46:N46)&lt;0.5, "Pending", IF(N46&lt;0.5, "Complete", "In Progress"))</f>
        <v>Pending</v>
      </c>
      <c r="P46" s="22">
        <v>0</v>
      </c>
      <c r="Q46" s="22">
        <f t="shared" si="13"/>
        <v>20</v>
      </c>
      <c r="R46" s="23" t="str">
        <f>IF(SUMPRODUCT($J$62:Q$62,$J46:Q46)&lt;0.5, "Pending", IF(Q46&lt;0.5, "Complete", "In Progress"))</f>
        <v>Pending</v>
      </c>
      <c r="S46" s="22">
        <v>0</v>
      </c>
      <c r="T46" s="22">
        <f t="shared" si="14"/>
        <v>20</v>
      </c>
      <c r="U46" s="23" t="str">
        <f>IF(SUMPRODUCT($J$62:T$62,$J46:T46)&lt;0.5, "Pending", IF(T46&lt;0.5, "Complete", "In Progress"))</f>
        <v>Pending</v>
      </c>
      <c r="V46" s="22">
        <v>0</v>
      </c>
      <c r="W46" s="22">
        <f t="shared" si="15"/>
        <v>20</v>
      </c>
      <c r="X46" s="23" t="str">
        <f>IF(SUMPRODUCT($J$62:W$62,$J46:W46)&lt;0.5, "Pending", IF(W46&lt;0.5, "Complete", "In Progress"))</f>
        <v>Pending</v>
      </c>
      <c r="Y46" s="22">
        <v>0</v>
      </c>
      <c r="Z46" s="22">
        <f t="shared" si="16"/>
        <v>20</v>
      </c>
      <c r="AA46" s="23" t="str">
        <f>IF(SUMPRODUCT($J$62:Z$62,$J46:Z46)&lt;0.5, "Pending", IF(Z46&lt;0.5, "Complete", "In Progress"))</f>
        <v>Pending</v>
      </c>
      <c r="AB46" s="22">
        <v>0</v>
      </c>
      <c r="AC46" s="22">
        <f t="shared" si="17"/>
        <v>20</v>
      </c>
      <c r="AD46" s="23" t="str">
        <f>IF(SUMPRODUCT($J$62:AC$62,$J46:AC46)&lt;0.5, "Pending", IF(AC46&lt;0.5, "Complete", "In Progress"))</f>
        <v>Pending</v>
      </c>
      <c r="AE46" s="22">
        <v>0</v>
      </c>
      <c r="AF46" s="22">
        <f t="shared" si="18"/>
        <v>20</v>
      </c>
      <c r="AG46" s="23" t="str">
        <f>IF(SUMPRODUCT($J$62:AF$62,$J46:AF46)&lt;0.5, "Pending", IF(AF46&lt;0.5, "Complete", "In Progress"))</f>
        <v>Pending</v>
      </c>
      <c r="AH46" s="22">
        <v>0</v>
      </c>
      <c r="AI46" s="22">
        <f t="shared" si="19"/>
        <v>20</v>
      </c>
      <c r="AJ46" s="23" t="str">
        <f>IF(SUMPRODUCT($J$62:AI$62,$J46:AI46)&lt;0.5, "Pending", IF(AI46&lt;0.5, "Complete", "In Progress"))</f>
        <v>Pending</v>
      </c>
      <c r="AK46" s="22">
        <v>0</v>
      </c>
      <c r="AL46" s="22">
        <f t="shared" si="20"/>
        <v>20</v>
      </c>
      <c r="AM46" s="23" t="str">
        <f>IF(SUMPRODUCT($J$62:AL$62,$J46:AL46)&lt;0.5, "Pending", IF(AL46&lt;0.5, "Complete", "In Progress"))</f>
        <v>Pending</v>
      </c>
      <c r="AN46" s="22">
        <v>0</v>
      </c>
      <c r="AO46" s="22">
        <f t="shared" si="21"/>
        <v>20</v>
      </c>
      <c r="AP46" s="23" t="str">
        <f>IF(SUMPRODUCT($J$62:AO$62,$J46:AO46)&lt;0.5, "Pending", IF(AO46&lt;0.5, "Complete", "In Progress"))</f>
        <v>Pending</v>
      </c>
      <c r="AQ46" s="22">
        <v>0</v>
      </c>
      <c r="AR46" s="22">
        <f t="shared" si="22"/>
        <v>20</v>
      </c>
      <c r="AS46" s="23" t="str">
        <f>IF(SUMPRODUCT($J$62:AR$62,$J46:AR46)&lt;0.5, "Pending", IF(AR46&lt;0.5, "Complete", "In Progress"))</f>
        <v>Pending</v>
      </c>
      <c r="AT46" s="22">
        <v>0</v>
      </c>
      <c r="AU46" s="22">
        <f t="shared" si="23"/>
        <v>20</v>
      </c>
      <c r="AV46" s="23" t="str">
        <f>IF(SUMPRODUCT($J$62:AU$62,$J46:AU46)&lt;0.5, "Pending", IF(AU46&lt;0.5, "Complete", "In Progress"))</f>
        <v>Pending</v>
      </c>
      <c r="AW46" s="22">
        <v>0</v>
      </c>
      <c r="AX46" s="22">
        <f t="shared" si="24"/>
        <v>20</v>
      </c>
      <c r="AY46" s="23" t="str">
        <f>IF(SUMPRODUCT($J$62:AX$62,$J46:AX46)&lt;0.5, "Pending", IF(AX46&lt;0.5, "Complete", "In Progress"))</f>
        <v>Pending</v>
      </c>
      <c r="AZ46" s="22">
        <v>0</v>
      </c>
      <c r="BA46" s="22">
        <f t="shared" si="25"/>
        <v>20</v>
      </c>
      <c r="BB46" s="23" t="str">
        <f>IF(SUMPRODUCT($J$62:BA$62,$J46:BA46)&lt;0.5, "Pending", IF(BA46&lt;0.5, "Complete", "In Progress"))</f>
        <v>Pending</v>
      </c>
      <c r="BC46" s="22">
        <v>0</v>
      </c>
      <c r="BD46" s="22">
        <f t="shared" si="26"/>
        <v>20</v>
      </c>
      <c r="BE46" s="23" t="str">
        <f>IF(SUMPRODUCT($J$62:BD$62,$J46:BD46)&lt;0.5, "Pending", IF(BD46&lt;0.5, "Complete", "In Progress"))</f>
        <v>Pending</v>
      </c>
      <c r="BF46" s="22">
        <v>0</v>
      </c>
      <c r="BG46" s="22">
        <f t="shared" si="27"/>
        <v>20</v>
      </c>
      <c r="BH46" s="23" t="str">
        <f>IF(SUMPRODUCT($J$62:BG$62,$J46:BG46)&lt;0.5, "Pending", IF(BG46&lt;0.5, "Complete", "In Progress"))</f>
        <v>Pending</v>
      </c>
      <c r="BI46" s="22">
        <v>0</v>
      </c>
      <c r="BJ46" s="22">
        <f t="shared" si="28"/>
        <v>20</v>
      </c>
      <c r="BK46" s="23" t="str">
        <f>IF(SUMPRODUCT($J$62:BJ$62,$J46:BJ46)&lt;0.5, "Pending", IF(BJ46&lt;0.5, "Complete", "In Progress"))</f>
        <v>Pending</v>
      </c>
      <c r="BL46" s="22">
        <v>0</v>
      </c>
      <c r="BM46" s="22">
        <f t="shared" si="29"/>
        <v>20</v>
      </c>
      <c r="BN46" s="23" t="str">
        <f>IF(SUMPRODUCT($J$62:BM$62,$J46:BM46)&lt;0.5, "Pending", IF(BM46&lt;0.5, "Complete", "In Progress"))</f>
        <v>Pending</v>
      </c>
      <c r="BO46" s="22">
        <v>0</v>
      </c>
      <c r="BP46" s="22">
        <f t="shared" si="30"/>
        <v>20</v>
      </c>
      <c r="BQ46" s="23" t="str">
        <f>IF(SUMPRODUCT($J$62:BP$62,$J46:BP46)&lt;0.5, "Pending", IF(BP46&lt;0.5, "Complete", "In Progress"))</f>
        <v>Pending</v>
      </c>
      <c r="BR46" s="22">
        <v>0</v>
      </c>
      <c r="BS46" s="22">
        <f t="shared" si="31"/>
        <v>20</v>
      </c>
      <c r="BT46" s="23" t="str">
        <f>IF(SUMPRODUCT($J$62:BS$62,$J46:BS46)&lt;0.5, "Pending", IF(BS46&lt;0.5, "Complete", "In Progress"))</f>
        <v>Pending</v>
      </c>
      <c r="BU46" s="22">
        <v>0</v>
      </c>
      <c r="BV46" s="22">
        <f t="shared" si="32"/>
        <v>20</v>
      </c>
      <c r="BW46" s="23" t="str">
        <f>IF(SUMPRODUCT($J$62:BV$62,$J46:BV46)&lt;0.5, "Pending", IF(BV46&lt;0.5, "Complete", "In Progress"))</f>
        <v>Pending</v>
      </c>
      <c r="BX46" s="22">
        <v>0</v>
      </c>
      <c r="BY46" s="22">
        <f t="shared" si="33"/>
        <v>20</v>
      </c>
      <c r="BZ46" s="23" t="str">
        <f>IF(SUMPRODUCT($J$62:BY$62,$J46:BY46)&lt;0.5, "Pending", IF(BY46&lt;0.5, "Complete", "In Progress"))</f>
        <v>Pending</v>
      </c>
      <c r="CA46" s="22">
        <v>0</v>
      </c>
      <c r="CB46" s="22">
        <f t="shared" si="34"/>
        <v>20</v>
      </c>
      <c r="CC46" s="23" t="str">
        <f>IF(SUMPRODUCT($J$62:CB$62,$J46:CB46)&lt;0.5, "Pending", IF(CB46&lt;0.5, "Complete", "In Progress"))</f>
        <v>Pending</v>
      </c>
      <c r="CD46" s="22">
        <v>0</v>
      </c>
      <c r="CE46" s="22">
        <f t="shared" si="35"/>
        <v>20</v>
      </c>
      <c r="CF46" s="23" t="str">
        <f>IF(SUMPRODUCT($J$62:CE$62,$J46:CE46)&lt;0.5, "Pending", IF(CE46&lt;0.5, "Complete", "In Progress"))</f>
        <v>Pending</v>
      </c>
      <c r="CG46" s="22">
        <v>0</v>
      </c>
      <c r="CH46" s="22">
        <f t="shared" si="36"/>
        <v>20</v>
      </c>
      <c r="CI46" s="23" t="str">
        <f>IF(SUMPRODUCT($J$62:CH$62,$J46:CH46)&lt;0.5, "Pending", IF(CH46&lt;0.5, "Complete", "In Progress"))</f>
        <v>Pending</v>
      </c>
      <c r="CJ46" s="22">
        <v>0</v>
      </c>
      <c r="CK46" s="22">
        <f t="shared" si="37"/>
        <v>20</v>
      </c>
      <c r="CL46" s="23" t="str">
        <f>IF(SUMPRODUCT($J$62:CK$62,$J46:CK46)&lt;0.5, "Pending", IF(CK46&lt;0.5, "Complete", "In Progress"))</f>
        <v>Pending</v>
      </c>
      <c r="CM46" s="22">
        <v>0</v>
      </c>
      <c r="CN46" s="22">
        <f t="shared" si="38"/>
        <v>20</v>
      </c>
      <c r="CO46" s="23" t="str">
        <f>IF(SUMPRODUCT($J$62:CN$62,$J46:CN46)&lt;0.5, "Pending", IF(CN46&lt;0.5, "Complete", "In Progress"))</f>
        <v>Pending</v>
      </c>
      <c r="CP46" s="22">
        <v>0</v>
      </c>
      <c r="CQ46" s="22">
        <f t="shared" si="39"/>
        <v>20</v>
      </c>
      <c r="CR46" s="23" t="str">
        <f>IF(SUMPRODUCT($J$62:CQ$62,$J46:CQ46)&lt;0.5, "Pending", IF(CQ46&lt;0.5, "Complete", "In Progress"))</f>
        <v>Pending</v>
      </c>
      <c r="CS46" s="22">
        <v>0</v>
      </c>
      <c r="CT46" s="22">
        <f t="shared" si="40"/>
        <v>20</v>
      </c>
      <c r="CU46" s="23" t="str">
        <f>IF(SUMPRODUCT($J$62:CT$62,$J46:CT46)&lt;0.5, "Pending", IF(CT46&lt;0.5, "Complete", "In Progress"))</f>
        <v>Pending</v>
      </c>
      <c r="CV46" s="22">
        <v>0</v>
      </c>
      <c r="CW46" s="22">
        <f t="shared" si="41"/>
        <v>20</v>
      </c>
      <c r="CX46" s="23" t="str">
        <f>IF(SUMPRODUCT($J$62:CW$62,$J46:CW46)&lt;0.5, "Pending", IF(CW46&lt;0.5, "Complete", "In Progress"))</f>
        <v>Pending</v>
      </c>
      <c r="CY46" s="22">
        <v>0</v>
      </c>
      <c r="CZ46" s="22">
        <f t="shared" si="42"/>
        <v>20</v>
      </c>
      <c r="DA46" s="23" t="str">
        <f>IF(SUMPRODUCT($J$62:CZ$62,$J46:CZ46)&lt;0.5, "Pending", IF(CZ46&lt;0.5, "Complete", "In Progress"))</f>
        <v>Pending</v>
      </c>
      <c r="DB46" s="22">
        <v>0</v>
      </c>
      <c r="DC46" s="22">
        <f t="shared" si="43"/>
        <v>20</v>
      </c>
      <c r="DD46" s="23" t="str">
        <f>IF(SUMPRODUCT($J$62:DC$62,$J46:DC46)&lt;0.5, "Pending", IF(DC46&lt;0.5, "Complete", "In Progress"))</f>
        <v>Pending</v>
      </c>
      <c r="DE46" s="22">
        <v>0</v>
      </c>
      <c r="DF46" s="22">
        <f t="shared" si="44"/>
        <v>20</v>
      </c>
      <c r="DG46" s="23" t="str">
        <f>IF(SUMPRODUCT($J$62:DF$62,$J46:DF46)&lt;0.5, "Pending", IF(DF46&lt;0.5, "Complete", "In Progress"))</f>
        <v>Pending</v>
      </c>
      <c r="DH46" s="22">
        <v>0</v>
      </c>
      <c r="DI46" s="22">
        <f t="shared" si="45"/>
        <v>20</v>
      </c>
      <c r="DJ46" s="23" t="str">
        <f>IF(SUMPRODUCT($J$62:DI$62,$J46:DI46)&lt;0.5, "Pending", IF(DI46&lt;0.5, "Complete", "In Progress"))</f>
        <v>Pending</v>
      </c>
      <c r="DK46" s="22">
        <v>0</v>
      </c>
      <c r="DL46" s="22">
        <f t="shared" si="46"/>
        <v>20</v>
      </c>
      <c r="DM46" s="23" t="str">
        <f>IF(SUMPRODUCT($J$62:DL$62,$J46:DL46)&lt;0.5, "Pending", IF(DL46&lt;0.5, "Complete", "In Progress"))</f>
        <v>Pending</v>
      </c>
      <c r="DN46" s="22">
        <v>0</v>
      </c>
      <c r="DO46" s="22">
        <f t="shared" si="47"/>
        <v>20</v>
      </c>
      <c r="DP46" s="23" t="str">
        <f>IF(SUMPRODUCT($J$62:DO$62,$J46:DO46)&lt;0.5, "Pending", IF(DO46&lt;0.5, "Complete", "In Progress"))</f>
        <v>Pending</v>
      </c>
      <c r="DQ46" s="22">
        <v>0</v>
      </c>
      <c r="DR46" s="22">
        <f t="shared" si="48"/>
        <v>20</v>
      </c>
      <c r="DS46" s="23" t="str">
        <f>IF(SUMPRODUCT($J$62:DR$62,$J46:DR46)&lt;0.5, "Pending", IF(DR46&lt;0.5, "Complete", "In Progress"))</f>
        <v>Pending</v>
      </c>
      <c r="DT46" s="22">
        <v>0</v>
      </c>
      <c r="DU46" s="22">
        <f t="shared" si="49"/>
        <v>20</v>
      </c>
      <c r="DV46" s="23" t="str">
        <f>IF(SUMPRODUCT($J$62:DU$62,$J46:DU46)&lt;0.5, "Pending", IF(DU46&lt;0.5, "Complete", "In Progress"))</f>
        <v>Pending</v>
      </c>
      <c r="DW46" s="22">
        <v>0</v>
      </c>
      <c r="DX46" s="22">
        <f t="shared" si="50"/>
        <v>20</v>
      </c>
      <c r="DY46" s="23" t="str">
        <f>IF(SUMPRODUCT($J$62:DX$62,$J46:DX46)&lt;0.5, "Pending", IF(DX46&lt;0.5, "Complete", "In Progress"))</f>
        <v>Pending</v>
      </c>
      <c r="DZ46" s="24"/>
      <c r="EA46" s="25">
        <f>SUMPRODUCT($H$62:DG$62,$H46:DG46)</f>
        <v>0</v>
      </c>
    </row>
    <row r="47" spans="1:131" x14ac:dyDescent="0.25">
      <c r="A47" s="16" t="s">
        <v>119</v>
      </c>
      <c r="B47" s="16" t="s">
        <v>152</v>
      </c>
      <c r="C47" s="16" t="s">
        <v>121</v>
      </c>
      <c r="D47" s="17">
        <v>14</v>
      </c>
      <c r="E47" s="199" t="s">
        <v>158</v>
      </c>
      <c r="F47" s="18" t="s">
        <v>134</v>
      </c>
      <c r="G47" s="19" t="str">
        <f t="shared" ca="1" si="0"/>
        <v>Pending</v>
      </c>
      <c r="H47" s="20">
        <v>1</v>
      </c>
      <c r="I47" s="21">
        <v>20</v>
      </c>
      <c r="J47" s="22">
        <v>0</v>
      </c>
      <c r="K47" s="22">
        <f t="shared" ref="K47" si="291">MAX(I47-J47, 0)</f>
        <v>20</v>
      </c>
      <c r="L47" s="23" t="str">
        <f>IF(SUMPRODUCT($J$62:K$62,$J47:K47)&lt;0.5, "Pending", IF(K47&lt;0.5, "Complete", "In Progress"))</f>
        <v>Pending</v>
      </c>
      <c r="M47" s="22">
        <v>0</v>
      </c>
      <c r="N47" s="22">
        <f t="shared" ref="N47" si="292">MAX(K47-M47,0)</f>
        <v>20</v>
      </c>
      <c r="O47" s="23" t="str">
        <f>IF(SUMPRODUCT($J$62:N$62,$J47:N47)&lt;0.5, "Pending", IF(N47&lt;0.5, "Complete", "In Progress"))</f>
        <v>Pending</v>
      </c>
      <c r="P47" s="22">
        <v>0</v>
      </c>
      <c r="Q47" s="22">
        <f t="shared" ref="Q47" si="293">MAX(N47-P47,0)</f>
        <v>20</v>
      </c>
      <c r="R47" s="23" t="str">
        <f>IF(SUMPRODUCT($J$62:Q$62,$J47:Q47)&lt;0.5, "Pending", IF(Q47&lt;0.5, "Complete", "In Progress"))</f>
        <v>Pending</v>
      </c>
      <c r="S47" s="22">
        <v>0</v>
      </c>
      <c r="T47" s="22">
        <f t="shared" ref="T47" si="294">MAX(Q47-S47,0)</f>
        <v>20</v>
      </c>
      <c r="U47" s="23" t="str">
        <f>IF(SUMPRODUCT($J$62:T$62,$J47:T47)&lt;0.5, "Pending", IF(T47&lt;0.5, "Complete", "In Progress"))</f>
        <v>Pending</v>
      </c>
      <c r="V47" s="22">
        <v>0</v>
      </c>
      <c r="W47" s="22">
        <f t="shared" ref="W47" si="295">MAX(T47-V47,0)</f>
        <v>20</v>
      </c>
      <c r="X47" s="23" t="str">
        <f>IF(SUMPRODUCT($J$62:W$62,$J47:W47)&lt;0.5, "Pending", IF(W47&lt;0.5, "Complete", "In Progress"))</f>
        <v>Pending</v>
      </c>
      <c r="Y47" s="22">
        <v>0</v>
      </c>
      <c r="Z47" s="22">
        <f t="shared" ref="Z47" si="296">MAX(W47-Y47,0)</f>
        <v>20</v>
      </c>
      <c r="AA47" s="23" t="str">
        <f>IF(SUMPRODUCT($J$62:Z$62,$J47:Z47)&lt;0.5, "Pending", IF(Z47&lt;0.5, "Complete", "In Progress"))</f>
        <v>Pending</v>
      </c>
      <c r="AB47" s="22">
        <v>0</v>
      </c>
      <c r="AC47" s="22">
        <f t="shared" ref="AC47" si="297">MAX(Z47-AB47,0)</f>
        <v>20</v>
      </c>
      <c r="AD47" s="23" t="str">
        <f>IF(SUMPRODUCT($J$62:AC$62,$J47:AC47)&lt;0.5, "Pending", IF(AC47&lt;0.5, "Complete", "In Progress"))</f>
        <v>Pending</v>
      </c>
      <c r="AE47" s="22">
        <v>0</v>
      </c>
      <c r="AF47" s="22">
        <f t="shared" ref="AF47" si="298">MAX(AC47-AE47,0)</f>
        <v>20</v>
      </c>
      <c r="AG47" s="23" t="str">
        <f>IF(SUMPRODUCT($J$62:AF$62,$J47:AF47)&lt;0.5, "Pending", IF(AF47&lt;0.5, "Complete", "In Progress"))</f>
        <v>Pending</v>
      </c>
      <c r="AH47" s="22">
        <v>0</v>
      </c>
      <c r="AI47" s="22">
        <f t="shared" ref="AI47" si="299">MAX(AF47-AH47,0)</f>
        <v>20</v>
      </c>
      <c r="AJ47" s="23" t="str">
        <f>IF(SUMPRODUCT($J$62:AI$62,$J47:AI47)&lt;0.5, "Pending", IF(AI47&lt;0.5, "Complete", "In Progress"))</f>
        <v>Pending</v>
      </c>
      <c r="AK47" s="22">
        <v>0</v>
      </c>
      <c r="AL47" s="22">
        <f t="shared" ref="AL47" si="300">MAX(AI47-AK47,0)</f>
        <v>20</v>
      </c>
      <c r="AM47" s="23" t="str">
        <f>IF(SUMPRODUCT($J$62:AL$62,$J47:AL47)&lt;0.5, "Pending", IF(AL47&lt;0.5, "Complete", "In Progress"))</f>
        <v>Pending</v>
      </c>
      <c r="AN47" s="22">
        <v>0</v>
      </c>
      <c r="AO47" s="22">
        <f t="shared" ref="AO47" si="301">MAX(AL47-AN47,0)</f>
        <v>20</v>
      </c>
      <c r="AP47" s="23" t="str">
        <f>IF(SUMPRODUCT($J$62:AO$62,$J47:AO47)&lt;0.5, "Pending", IF(AO47&lt;0.5, "Complete", "In Progress"))</f>
        <v>Pending</v>
      </c>
      <c r="AQ47" s="22">
        <v>0</v>
      </c>
      <c r="AR47" s="22">
        <f t="shared" ref="AR47" si="302">MAX(AO47-AQ47,0)</f>
        <v>20</v>
      </c>
      <c r="AS47" s="23" t="str">
        <f>IF(SUMPRODUCT($J$62:AR$62,$J47:AR47)&lt;0.5, "Pending", IF(AR47&lt;0.5, "Complete", "In Progress"))</f>
        <v>Pending</v>
      </c>
      <c r="AT47" s="22">
        <v>0</v>
      </c>
      <c r="AU47" s="22">
        <f t="shared" ref="AU47" si="303">MAX(AR47-AT47,0)</f>
        <v>20</v>
      </c>
      <c r="AV47" s="23" t="str">
        <f>IF(SUMPRODUCT($J$62:AU$62,$J47:AU47)&lt;0.5, "Pending", IF(AU47&lt;0.5, "Complete", "In Progress"))</f>
        <v>Pending</v>
      </c>
      <c r="AW47" s="22">
        <v>0</v>
      </c>
      <c r="AX47" s="22">
        <f t="shared" ref="AX47" si="304">MAX(AU47-AW47,0)</f>
        <v>20</v>
      </c>
      <c r="AY47" s="23" t="str">
        <f>IF(SUMPRODUCT($J$62:AX$62,$J47:AX47)&lt;0.5, "Pending", IF(AX47&lt;0.5, "Complete", "In Progress"))</f>
        <v>Pending</v>
      </c>
      <c r="AZ47" s="22">
        <v>0</v>
      </c>
      <c r="BA47" s="22">
        <f t="shared" ref="BA47" si="305">MAX(AX47-AZ47,0)</f>
        <v>20</v>
      </c>
      <c r="BB47" s="23" t="str">
        <f>IF(SUMPRODUCT($J$62:BA$62,$J47:BA47)&lt;0.5, "Pending", IF(BA47&lt;0.5, "Complete", "In Progress"))</f>
        <v>Pending</v>
      </c>
      <c r="BC47" s="22">
        <v>0</v>
      </c>
      <c r="BD47" s="22">
        <f t="shared" ref="BD47" si="306">MAX(BA47-BC47,0)</f>
        <v>20</v>
      </c>
      <c r="BE47" s="23" t="str">
        <f>IF(SUMPRODUCT($J$62:BD$62,$J47:BD47)&lt;0.5, "Pending", IF(BD47&lt;0.5, "Complete", "In Progress"))</f>
        <v>Pending</v>
      </c>
      <c r="BF47" s="22">
        <v>0</v>
      </c>
      <c r="BG47" s="22">
        <f t="shared" ref="BG47" si="307">MAX(BD47-BF47,0)</f>
        <v>20</v>
      </c>
      <c r="BH47" s="23" t="str">
        <f>IF(SUMPRODUCT($J$62:BG$62,$J47:BG47)&lt;0.5, "Pending", IF(BG47&lt;0.5, "Complete", "In Progress"))</f>
        <v>Pending</v>
      </c>
      <c r="BI47" s="22">
        <v>0</v>
      </c>
      <c r="BJ47" s="22">
        <f t="shared" ref="BJ47" si="308">MAX(BG47-BI47,0)</f>
        <v>20</v>
      </c>
      <c r="BK47" s="23" t="str">
        <f>IF(SUMPRODUCT($J$62:BJ$62,$J47:BJ47)&lt;0.5, "Pending", IF(BJ47&lt;0.5, "Complete", "In Progress"))</f>
        <v>Pending</v>
      </c>
      <c r="BL47" s="22">
        <v>0</v>
      </c>
      <c r="BM47" s="22">
        <f t="shared" ref="BM47" si="309">MAX(BJ47-BL47,0)</f>
        <v>20</v>
      </c>
      <c r="BN47" s="23" t="str">
        <f>IF(SUMPRODUCT($J$62:BM$62,$J47:BM47)&lt;0.5, "Pending", IF(BM47&lt;0.5, "Complete", "In Progress"))</f>
        <v>Pending</v>
      </c>
      <c r="BO47" s="22">
        <v>0</v>
      </c>
      <c r="BP47" s="22">
        <f t="shared" ref="BP47" si="310">MAX(BM47-BO47,0)</f>
        <v>20</v>
      </c>
      <c r="BQ47" s="23" t="str">
        <f>IF(SUMPRODUCT($J$62:BP$62,$J47:BP47)&lt;0.5, "Pending", IF(BP47&lt;0.5, "Complete", "In Progress"))</f>
        <v>Pending</v>
      </c>
      <c r="BR47" s="22">
        <v>0</v>
      </c>
      <c r="BS47" s="22">
        <f t="shared" ref="BS47" si="311">MAX(BP47-BR47,0)</f>
        <v>20</v>
      </c>
      <c r="BT47" s="23" t="str">
        <f>IF(SUMPRODUCT($J$62:BS$62,$J47:BS47)&lt;0.5, "Pending", IF(BS47&lt;0.5, "Complete", "In Progress"))</f>
        <v>Pending</v>
      </c>
      <c r="BU47" s="22">
        <v>0</v>
      </c>
      <c r="BV47" s="22">
        <f t="shared" ref="BV47" si="312">MAX(BS47-BU47,0)</f>
        <v>20</v>
      </c>
      <c r="BW47" s="23" t="str">
        <f>IF(SUMPRODUCT($J$62:BV$62,$J47:BV47)&lt;0.5, "Pending", IF(BV47&lt;0.5, "Complete", "In Progress"))</f>
        <v>Pending</v>
      </c>
      <c r="BX47" s="22">
        <v>0</v>
      </c>
      <c r="BY47" s="22">
        <f t="shared" ref="BY47" si="313">MAX(BV47-BX47,0)</f>
        <v>20</v>
      </c>
      <c r="BZ47" s="23" t="str">
        <f>IF(SUMPRODUCT($J$62:BY$62,$J47:BY47)&lt;0.5, "Pending", IF(BY47&lt;0.5, "Complete", "In Progress"))</f>
        <v>Pending</v>
      </c>
      <c r="CA47" s="22">
        <v>0</v>
      </c>
      <c r="CB47" s="22">
        <f t="shared" ref="CB47" si="314">MAX(BY47-CA47,0)</f>
        <v>20</v>
      </c>
      <c r="CC47" s="23" t="str">
        <f>IF(SUMPRODUCT($J$62:CB$62,$J47:CB47)&lt;0.5, "Pending", IF(CB47&lt;0.5, "Complete", "In Progress"))</f>
        <v>Pending</v>
      </c>
      <c r="CD47" s="22">
        <v>0</v>
      </c>
      <c r="CE47" s="22">
        <f t="shared" ref="CE47" si="315">MAX(CB47-CD47,0)</f>
        <v>20</v>
      </c>
      <c r="CF47" s="23" t="str">
        <f>IF(SUMPRODUCT($J$62:CE$62,$J47:CE47)&lt;0.5, "Pending", IF(CE47&lt;0.5, "Complete", "In Progress"))</f>
        <v>Pending</v>
      </c>
      <c r="CG47" s="22">
        <v>0</v>
      </c>
      <c r="CH47" s="22">
        <f t="shared" ref="CH47" si="316">MAX(CE47-CG47,0)</f>
        <v>20</v>
      </c>
      <c r="CI47" s="23" t="str">
        <f>IF(SUMPRODUCT($J$62:CH$62,$J47:CH47)&lt;0.5, "Pending", IF(CH47&lt;0.5, "Complete", "In Progress"))</f>
        <v>Pending</v>
      </c>
      <c r="CJ47" s="22">
        <v>0</v>
      </c>
      <c r="CK47" s="22">
        <f t="shared" ref="CK47" si="317">MAX(CH47-CJ47,0)</f>
        <v>20</v>
      </c>
      <c r="CL47" s="23" t="str">
        <f>IF(SUMPRODUCT($J$62:CK$62,$J47:CK47)&lt;0.5, "Pending", IF(CK47&lt;0.5, "Complete", "In Progress"))</f>
        <v>Pending</v>
      </c>
      <c r="CM47" s="22">
        <v>0</v>
      </c>
      <c r="CN47" s="22">
        <f t="shared" ref="CN47" si="318">MAX(CK47-CM47,0)</f>
        <v>20</v>
      </c>
      <c r="CO47" s="23" t="str">
        <f>IF(SUMPRODUCT($J$62:CN$62,$J47:CN47)&lt;0.5, "Pending", IF(CN47&lt;0.5, "Complete", "In Progress"))</f>
        <v>Pending</v>
      </c>
      <c r="CP47" s="22">
        <v>0</v>
      </c>
      <c r="CQ47" s="22">
        <f t="shared" ref="CQ47" si="319">MAX(CN47-CP47,0)</f>
        <v>20</v>
      </c>
      <c r="CR47" s="23" t="str">
        <f>IF(SUMPRODUCT($J$62:CQ$62,$J47:CQ47)&lt;0.5, "Pending", IF(CQ47&lt;0.5, "Complete", "In Progress"))</f>
        <v>Pending</v>
      </c>
      <c r="CS47" s="22">
        <v>0</v>
      </c>
      <c r="CT47" s="22">
        <f t="shared" ref="CT47" si="320">MAX(CQ47-CS47,0)</f>
        <v>20</v>
      </c>
      <c r="CU47" s="23" t="str">
        <f>IF(SUMPRODUCT($J$62:CT$62,$J47:CT47)&lt;0.5, "Pending", IF(CT47&lt;0.5, "Complete", "In Progress"))</f>
        <v>Pending</v>
      </c>
      <c r="CV47" s="22">
        <v>0</v>
      </c>
      <c r="CW47" s="22">
        <f t="shared" ref="CW47" si="321">MAX(CT47-CV47,0)</f>
        <v>20</v>
      </c>
      <c r="CX47" s="23" t="str">
        <f>IF(SUMPRODUCT($J$62:CW$62,$J47:CW47)&lt;0.5, "Pending", IF(CW47&lt;0.5, "Complete", "In Progress"))</f>
        <v>Pending</v>
      </c>
      <c r="CY47" s="22">
        <v>0</v>
      </c>
      <c r="CZ47" s="22">
        <f t="shared" ref="CZ47" si="322">MAX(CW47-CY47,0)</f>
        <v>20</v>
      </c>
      <c r="DA47" s="23" t="str">
        <f>IF(SUMPRODUCT($J$62:CZ$62,$J47:CZ47)&lt;0.5, "Pending", IF(CZ47&lt;0.5, "Complete", "In Progress"))</f>
        <v>Pending</v>
      </c>
      <c r="DB47" s="22">
        <v>0</v>
      </c>
      <c r="DC47" s="22">
        <f t="shared" ref="DC47" si="323">MAX(CZ47-DB47,0)</f>
        <v>20</v>
      </c>
      <c r="DD47" s="23" t="str">
        <f>IF(SUMPRODUCT($J$62:DC$62,$J47:DC47)&lt;0.5, "Pending", IF(DC47&lt;0.5, "Complete", "In Progress"))</f>
        <v>Pending</v>
      </c>
      <c r="DE47" s="22">
        <v>0</v>
      </c>
      <c r="DF47" s="22">
        <f t="shared" ref="DF47" si="324">MAX(DC47-DE47,0)</f>
        <v>20</v>
      </c>
      <c r="DG47" s="23" t="str">
        <f>IF(SUMPRODUCT($J$62:DF$62,$J47:DF47)&lt;0.5, "Pending", IF(DF47&lt;0.5, "Complete", "In Progress"))</f>
        <v>Pending</v>
      </c>
      <c r="DH47" s="22">
        <v>0</v>
      </c>
      <c r="DI47" s="22">
        <f t="shared" ref="DI47" si="325">MAX(DF47-DH47,0)</f>
        <v>20</v>
      </c>
      <c r="DJ47" s="23" t="str">
        <f>IF(SUMPRODUCT($J$62:DI$62,$J47:DI47)&lt;0.5, "Pending", IF(DI47&lt;0.5, "Complete", "In Progress"))</f>
        <v>Pending</v>
      </c>
      <c r="DK47" s="22">
        <v>0</v>
      </c>
      <c r="DL47" s="22">
        <f t="shared" ref="DL47" si="326">MAX(DI47-DK47,0)</f>
        <v>20</v>
      </c>
      <c r="DM47" s="23" t="str">
        <f>IF(SUMPRODUCT($J$62:DL$62,$J47:DL47)&lt;0.5, "Pending", IF(DL47&lt;0.5, "Complete", "In Progress"))</f>
        <v>Pending</v>
      </c>
      <c r="DN47" s="22">
        <v>0</v>
      </c>
      <c r="DO47" s="22">
        <f t="shared" ref="DO47" si="327">MAX(DL47-DN47,0)</f>
        <v>20</v>
      </c>
      <c r="DP47" s="23" t="str">
        <f>IF(SUMPRODUCT($J$62:DO$62,$J47:DO47)&lt;0.5, "Pending", IF(DO47&lt;0.5, "Complete", "In Progress"))</f>
        <v>Pending</v>
      </c>
      <c r="DQ47" s="22">
        <v>0</v>
      </c>
      <c r="DR47" s="22">
        <f t="shared" ref="DR47" si="328">MAX(DO47-DQ47,0)</f>
        <v>20</v>
      </c>
      <c r="DS47" s="23" t="str">
        <f>IF(SUMPRODUCT($J$62:DR$62,$J47:DR47)&lt;0.5, "Pending", IF(DR47&lt;0.5, "Complete", "In Progress"))</f>
        <v>Pending</v>
      </c>
      <c r="DT47" s="22">
        <v>0</v>
      </c>
      <c r="DU47" s="22">
        <f t="shared" ref="DU47" si="329">MAX(DR47-DT47,0)</f>
        <v>20</v>
      </c>
      <c r="DV47" s="23" t="str">
        <f>IF(SUMPRODUCT($J$62:DU$62,$J47:DU47)&lt;0.5, "Pending", IF(DU47&lt;0.5, "Complete", "In Progress"))</f>
        <v>Pending</v>
      </c>
      <c r="DW47" s="22">
        <v>0</v>
      </c>
      <c r="DX47" s="22">
        <f t="shared" ref="DX47" si="330">MAX(DU47-DW47,0)</f>
        <v>20</v>
      </c>
      <c r="DY47" s="23" t="str">
        <f>IF(SUMPRODUCT($J$62:DX$62,$J47:DX47)&lt;0.5, "Pending", IF(DX47&lt;0.5, "Complete", "In Progress"))</f>
        <v>Pending</v>
      </c>
      <c r="DZ47" s="24"/>
      <c r="EA47" s="25">
        <f>SUMPRODUCT($H$62:DG$62,$H47:DG47)</f>
        <v>0</v>
      </c>
    </row>
    <row r="48" spans="1:131" x14ac:dyDescent="0.25">
      <c r="A48" s="16" t="s">
        <v>124</v>
      </c>
      <c r="B48" s="16" t="s">
        <v>152</v>
      </c>
      <c r="C48" s="16" t="s">
        <v>121</v>
      </c>
      <c r="D48" s="17">
        <v>14</v>
      </c>
      <c r="E48" s="199" t="s">
        <v>159</v>
      </c>
      <c r="F48" s="18" t="s">
        <v>123</v>
      </c>
      <c r="G48" s="19" t="str">
        <f t="shared" ca="1" si="0"/>
        <v>Pending</v>
      </c>
      <c r="H48" s="20">
        <v>1</v>
      </c>
      <c r="I48" s="21">
        <v>20</v>
      </c>
      <c r="J48" s="22">
        <v>0</v>
      </c>
      <c r="K48" s="22">
        <f t="shared" si="11"/>
        <v>20</v>
      </c>
      <c r="L48" s="23" t="str">
        <f>IF(SUMPRODUCT($J$62:K$62,$J48:K48)&lt;0.5, "Pending", IF(K48&lt;0.5, "Complete", "In Progress"))</f>
        <v>Pending</v>
      </c>
      <c r="M48" s="22">
        <v>0</v>
      </c>
      <c r="N48" s="22">
        <f t="shared" si="12"/>
        <v>20</v>
      </c>
      <c r="O48" s="23" t="str">
        <f>IF(SUMPRODUCT($J$62:N$62,$J48:N48)&lt;0.5, "Pending", IF(N48&lt;0.5, "Complete", "In Progress"))</f>
        <v>Pending</v>
      </c>
      <c r="P48" s="22">
        <v>0</v>
      </c>
      <c r="Q48" s="22">
        <f t="shared" si="13"/>
        <v>20</v>
      </c>
      <c r="R48" s="23" t="str">
        <f>IF(SUMPRODUCT($J$62:Q$62,$J48:Q48)&lt;0.5, "Pending", IF(Q48&lt;0.5, "Complete", "In Progress"))</f>
        <v>Pending</v>
      </c>
      <c r="S48" s="22">
        <v>0</v>
      </c>
      <c r="T48" s="22">
        <f t="shared" si="14"/>
        <v>20</v>
      </c>
      <c r="U48" s="23" t="str">
        <f>IF(SUMPRODUCT($J$62:T$62,$J48:T48)&lt;0.5, "Pending", IF(T48&lt;0.5, "Complete", "In Progress"))</f>
        <v>Pending</v>
      </c>
      <c r="V48" s="22">
        <v>0</v>
      </c>
      <c r="W48" s="22">
        <f t="shared" si="15"/>
        <v>20</v>
      </c>
      <c r="X48" s="23" t="str">
        <f>IF(SUMPRODUCT($J$62:W$62,$J48:W48)&lt;0.5, "Pending", IF(W48&lt;0.5, "Complete", "In Progress"))</f>
        <v>Pending</v>
      </c>
      <c r="Y48" s="22">
        <v>0</v>
      </c>
      <c r="Z48" s="22">
        <f t="shared" si="16"/>
        <v>20</v>
      </c>
      <c r="AA48" s="23" t="str">
        <f>IF(SUMPRODUCT($J$62:Z$62,$J48:Z48)&lt;0.5, "Pending", IF(Z48&lt;0.5, "Complete", "In Progress"))</f>
        <v>Pending</v>
      </c>
      <c r="AB48" s="22">
        <v>0</v>
      </c>
      <c r="AC48" s="22">
        <f t="shared" si="17"/>
        <v>20</v>
      </c>
      <c r="AD48" s="23" t="str">
        <f>IF(SUMPRODUCT($J$62:AC$62,$J48:AC48)&lt;0.5, "Pending", IF(AC48&lt;0.5, "Complete", "In Progress"))</f>
        <v>Pending</v>
      </c>
      <c r="AE48" s="22">
        <v>0</v>
      </c>
      <c r="AF48" s="22">
        <f t="shared" si="18"/>
        <v>20</v>
      </c>
      <c r="AG48" s="23" t="str">
        <f>IF(SUMPRODUCT($J$62:AF$62,$J48:AF48)&lt;0.5, "Pending", IF(AF48&lt;0.5, "Complete", "In Progress"))</f>
        <v>Pending</v>
      </c>
      <c r="AH48" s="22">
        <v>0</v>
      </c>
      <c r="AI48" s="22">
        <f t="shared" si="19"/>
        <v>20</v>
      </c>
      <c r="AJ48" s="23" t="str">
        <f>IF(SUMPRODUCT($J$62:AI$62,$J48:AI48)&lt;0.5, "Pending", IF(AI48&lt;0.5, "Complete", "In Progress"))</f>
        <v>Pending</v>
      </c>
      <c r="AK48" s="22">
        <v>0</v>
      </c>
      <c r="AL48" s="22">
        <f t="shared" si="20"/>
        <v>20</v>
      </c>
      <c r="AM48" s="23" t="str">
        <f>IF(SUMPRODUCT($J$62:AL$62,$J48:AL48)&lt;0.5, "Pending", IF(AL48&lt;0.5, "Complete", "In Progress"))</f>
        <v>Pending</v>
      </c>
      <c r="AN48" s="22">
        <v>0</v>
      </c>
      <c r="AO48" s="22">
        <f t="shared" si="21"/>
        <v>20</v>
      </c>
      <c r="AP48" s="23" t="str">
        <f>IF(SUMPRODUCT($J$62:AO$62,$J48:AO48)&lt;0.5, "Pending", IF(AO48&lt;0.5, "Complete", "In Progress"))</f>
        <v>Pending</v>
      </c>
      <c r="AQ48" s="22">
        <v>0</v>
      </c>
      <c r="AR48" s="22">
        <f t="shared" si="22"/>
        <v>20</v>
      </c>
      <c r="AS48" s="23" t="str">
        <f>IF(SUMPRODUCT($J$62:AR$62,$J48:AR48)&lt;0.5, "Pending", IF(AR48&lt;0.5, "Complete", "In Progress"))</f>
        <v>Pending</v>
      </c>
      <c r="AT48" s="22">
        <v>0</v>
      </c>
      <c r="AU48" s="22">
        <f t="shared" si="23"/>
        <v>20</v>
      </c>
      <c r="AV48" s="23" t="str">
        <f>IF(SUMPRODUCT($J$62:AU$62,$J48:AU48)&lt;0.5, "Pending", IF(AU48&lt;0.5, "Complete", "In Progress"))</f>
        <v>Pending</v>
      </c>
      <c r="AW48" s="22">
        <v>0</v>
      </c>
      <c r="AX48" s="22">
        <f t="shared" si="24"/>
        <v>20</v>
      </c>
      <c r="AY48" s="23" t="str">
        <f>IF(SUMPRODUCT($J$62:AX$62,$J48:AX48)&lt;0.5, "Pending", IF(AX48&lt;0.5, "Complete", "In Progress"))</f>
        <v>Pending</v>
      </c>
      <c r="AZ48" s="22">
        <v>0</v>
      </c>
      <c r="BA48" s="22">
        <f t="shared" si="25"/>
        <v>20</v>
      </c>
      <c r="BB48" s="23" t="str">
        <f>IF(SUMPRODUCT($J$62:BA$62,$J48:BA48)&lt;0.5, "Pending", IF(BA48&lt;0.5, "Complete", "In Progress"))</f>
        <v>Pending</v>
      </c>
      <c r="BC48" s="22">
        <v>0</v>
      </c>
      <c r="BD48" s="22">
        <f t="shared" si="26"/>
        <v>20</v>
      </c>
      <c r="BE48" s="23" t="str">
        <f>IF(SUMPRODUCT($J$62:BD$62,$J48:BD48)&lt;0.5, "Pending", IF(BD48&lt;0.5, "Complete", "In Progress"))</f>
        <v>Pending</v>
      </c>
      <c r="BF48" s="22">
        <v>0</v>
      </c>
      <c r="BG48" s="22">
        <f t="shared" si="27"/>
        <v>20</v>
      </c>
      <c r="BH48" s="23" t="str">
        <f>IF(SUMPRODUCT($J$62:BG$62,$J48:BG48)&lt;0.5, "Pending", IF(BG48&lt;0.5, "Complete", "In Progress"))</f>
        <v>Pending</v>
      </c>
      <c r="BI48" s="22">
        <v>0</v>
      </c>
      <c r="BJ48" s="22">
        <f t="shared" si="28"/>
        <v>20</v>
      </c>
      <c r="BK48" s="23" t="str">
        <f>IF(SUMPRODUCT($J$62:BJ$62,$J48:BJ48)&lt;0.5, "Pending", IF(BJ48&lt;0.5, "Complete", "In Progress"))</f>
        <v>Pending</v>
      </c>
      <c r="BL48" s="22">
        <v>0</v>
      </c>
      <c r="BM48" s="22">
        <f t="shared" si="29"/>
        <v>20</v>
      </c>
      <c r="BN48" s="23" t="str">
        <f>IF(SUMPRODUCT($J$62:BM$62,$J48:BM48)&lt;0.5, "Pending", IF(BM48&lt;0.5, "Complete", "In Progress"))</f>
        <v>Pending</v>
      </c>
      <c r="BO48" s="22">
        <v>0</v>
      </c>
      <c r="BP48" s="22">
        <f t="shared" si="30"/>
        <v>20</v>
      </c>
      <c r="BQ48" s="23" t="str">
        <f>IF(SUMPRODUCT($J$62:BP$62,$J48:BP48)&lt;0.5, "Pending", IF(BP48&lt;0.5, "Complete", "In Progress"))</f>
        <v>Pending</v>
      </c>
      <c r="BR48" s="22">
        <v>0</v>
      </c>
      <c r="BS48" s="22">
        <f t="shared" si="31"/>
        <v>20</v>
      </c>
      <c r="BT48" s="23" t="str">
        <f>IF(SUMPRODUCT($J$62:BS$62,$J48:BS48)&lt;0.5, "Pending", IF(BS48&lt;0.5, "Complete", "In Progress"))</f>
        <v>Pending</v>
      </c>
      <c r="BU48" s="22">
        <v>0</v>
      </c>
      <c r="BV48" s="22">
        <f t="shared" si="32"/>
        <v>20</v>
      </c>
      <c r="BW48" s="23" t="str">
        <f>IF(SUMPRODUCT($J$62:BV$62,$J48:BV48)&lt;0.5, "Pending", IF(BV48&lt;0.5, "Complete", "In Progress"))</f>
        <v>Pending</v>
      </c>
      <c r="BX48" s="22">
        <v>0</v>
      </c>
      <c r="BY48" s="22">
        <f t="shared" si="33"/>
        <v>20</v>
      </c>
      <c r="BZ48" s="23" t="str">
        <f>IF(SUMPRODUCT($J$62:BY$62,$J48:BY48)&lt;0.5, "Pending", IF(BY48&lt;0.5, "Complete", "In Progress"))</f>
        <v>Pending</v>
      </c>
      <c r="CA48" s="22">
        <v>0</v>
      </c>
      <c r="CB48" s="22">
        <f t="shared" si="34"/>
        <v>20</v>
      </c>
      <c r="CC48" s="23" t="str">
        <f>IF(SUMPRODUCT($J$62:CB$62,$J48:CB48)&lt;0.5, "Pending", IF(CB48&lt;0.5, "Complete", "In Progress"))</f>
        <v>Pending</v>
      </c>
      <c r="CD48" s="22">
        <v>0</v>
      </c>
      <c r="CE48" s="22">
        <f t="shared" si="35"/>
        <v>20</v>
      </c>
      <c r="CF48" s="23" t="str">
        <f>IF(SUMPRODUCT($J$62:CE$62,$J48:CE48)&lt;0.5, "Pending", IF(CE48&lt;0.5, "Complete", "In Progress"))</f>
        <v>Pending</v>
      </c>
      <c r="CG48" s="22">
        <v>0</v>
      </c>
      <c r="CH48" s="22">
        <f t="shared" si="36"/>
        <v>20</v>
      </c>
      <c r="CI48" s="23" t="str">
        <f>IF(SUMPRODUCT($J$62:CH$62,$J48:CH48)&lt;0.5, "Pending", IF(CH48&lt;0.5, "Complete", "In Progress"))</f>
        <v>Pending</v>
      </c>
      <c r="CJ48" s="22">
        <v>0</v>
      </c>
      <c r="CK48" s="22">
        <f t="shared" si="37"/>
        <v>20</v>
      </c>
      <c r="CL48" s="23" t="str">
        <f>IF(SUMPRODUCT($J$62:CK$62,$J48:CK48)&lt;0.5, "Pending", IF(CK48&lt;0.5, "Complete", "In Progress"))</f>
        <v>Pending</v>
      </c>
      <c r="CM48" s="22">
        <v>0</v>
      </c>
      <c r="CN48" s="22">
        <f t="shared" si="38"/>
        <v>20</v>
      </c>
      <c r="CO48" s="23" t="str">
        <f>IF(SUMPRODUCT($J$62:CN$62,$J48:CN48)&lt;0.5, "Pending", IF(CN48&lt;0.5, "Complete", "In Progress"))</f>
        <v>Pending</v>
      </c>
      <c r="CP48" s="22">
        <v>0</v>
      </c>
      <c r="CQ48" s="22">
        <f t="shared" si="39"/>
        <v>20</v>
      </c>
      <c r="CR48" s="23" t="str">
        <f>IF(SUMPRODUCT($J$62:CQ$62,$J48:CQ48)&lt;0.5, "Pending", IF(CQ48&lt;0.5, "Complete", "In Progress"))</f>
        <v>Pending</v>
      </c>
      <c r="CS48" s="22">
        <v>0</v>
      </c>
      <c r="CT48" s="22">
        <f t="shared" si="40"/>
        <v>20</v>
      </c>
      <c r="CU48" s="23" t="str">
        <f>IF(SUMPRODUCT($J$62:CT$62,$J48:CT48)&lt;0.5, "Pending", IF(CT48&lt;0.5, "Complete", "In Progress"))</f>
        <v>Pending</v>
      </c>
      <c r="CV48" s="22">
        <v>0</v>
      </c>
      <c r="CW48" s="22">
        <f t="shared" si="41"/>
        <v>20</v>
      </c>
      <c r="CX48" s="23" t="str">
        <f>IF(SUMPRODUCT($J$62:CW$62,$J48:CW48)&lt;0.5, "Pending", IF(CW48&lt;0.5, "Complete", "In Progress"))</f>
        <v>Pending</v>
      </c>
      <c r="CY48" s="22">
        <v>0</v>
      </c>
      <c r="CZ48" s="22">
        <f t="shared" si="42"/>
        <v>20</v>
      </c>
      <c r="DA48" s="23" t="str">
        <f>IF(SUMPRODUCT($J$62:CZ$62,$J48:CZ48)&lt;0.5, "Pending", IF(CZ48&lt;0.5, "Complete", "In Progress"))</f>
        <v>Pending</v>
      </c>
      <c r="DB48" s="22">
        <v>0</v>
      </c>
      <c r="DC48" s="22">
        <f t="shared" si="43"/>
        <v>20</v>
      </c>
      <c r="DD48" s="23" t="str">
        <f>IF(SUMPRODUCT($J$62:DC$62,$J48:DC48)&lt;0.5, "Pending", IF(DC48&lt;0.5, "Complete", "In Progress"))</f>
        <v>Pending</v>
      </c>
      <c r="DE48" s="22">
        <v>0</v>
      </c>
      <c r="DF48" s="22">
        <f t="shared" si="44"/>
        <v>20</v>
      </c>
      <c r="DG48" s="23" t="str">
        <f>IF(SUMPRODUCT($J$62:DF$62,$J48:DF48)&lt;0.5, "Pending", IF(DF48&lt;0.5, "Complete", "In Progress"))</f>
        <v>Pending</v>
      </c>
      <c r="DH48" s="22">
        <v>0</v>
      </c>
      <c r="DI48" s="22">
        <f t="shared" si="45"/>
        <v>20</v>
      </c>
      <c r="DJ48" s="23" t="str">
        <f>IF(SUMPRODUCT($J$62:DI$62,$J48:DI48)&lt;0.5, "Pending", IF(DI48&lt;0.5, "Complete", "In Progress"))</f>
        <v>Pending</v>
      </c>
      <c r="DK48" s="22">
        <v>0</v>
      </c>
      <c r="DL48" s="22">
        <f t="shared" si="46"/>
        <v>20</v>
      </c>
      <c r="DM48" s="23" t="str">
        <f>IF(SUMPRODUCT($J$62:DL$62,$J48:DL48)&lt;0.5, "Pending", IF(DL48&lt;0.5, "Complete", "In Progress"))</f>
        <v>Pending</v>
      </c>
      <c r="DN48" s="22">
        <v>0</v>
      </c>
      <c r="DO48" s="22">
        <f t="shared" si="47"/>
        <v>20</v>
      </c>
      <c r="DP48" s="23" t="str">
        <f>IF(SUMPRODUCT($J$62:DO$62,$J48:DO48)&lt;0.5, "Pending", IF(DO48&lt;0.5, "Complete", "In Progress"))</f>
        <v>Pending</v>
      </c>
      <c r="DQ48" s="22">
        <v>0</v>
      </c>
      <c r="DR48" s="22">
        <f t="shared" si="48"/>
        <v>20</v>
      </c>
      <c r="DS48" s="23" t="str">
        <f>IF(SUMPRODUCT($J$62:DR$62,$J48:DR48)&lt;0.5, "Pending", IF(DR48&lt;0.5, "Complete", "In Progress"))</f>
        <v>Pending</v>
      </c>
      <c r="DT48" s="22">
        <v>0</v>
      </c>
      <c r="DU48" s="22">
        <f t="shared" si="49"/>
        <v>20</v>
      </c>
      <c r="DV48" s="23" t="str">
        <f>IF(SUMPRODUCT($J$62:DU$62,$J48:DU48)&lt;0.5, "Pending", IF(DU48&lt;0.5, "Complete", "In Progress"))</f>
        <v>Pending</v>
      </c>
      <c r="DW48" s="22">
        <v>0</v>
      </c>
      <c r="DX48" s="22">
        <f t="shared" si="50"/>
        <v>20</v>
      </c>
      <c r="DY48" s="23" t="str">
        <f>IF(SUMPRODUCT($J$62:DX$62,$J48:DX48)&lt;0.5, "Pending", IF(DX48&lt;0.5, "Complete", "In Progress"))</f>
        <v>Pending</v>
      </c>
      <c r="DZ48" s="24"/>
      <c r="EA48" s="25">
        <f>SUMPRODUCT($H$62:DG$62,$H48:DG48)</f>
        <v>0</v>
      </c>
    </row>
    <row r="49" spans="1:131" x14ac:dyDescent="0.25">
      <c r="A49" s="16" t="s">
        <v>124</v>
      </c>
      <c r="B49" s="16" t="s">
        <v>152</v>
      </c>
      <c r="C49" s="16" t="s">
        <v>121</v>
      </c>
      <c r="D49" s="17">
        <v>14</v>
      </c>
      <c r="E49" s="199" t="s">
        <v>159</v>
      </c>
      <c r="F49" s="18" t="s">
        <v>126</v>
      </c>
      <c r="G49" s="19" t="str">
        <f t="shared" ca="1" si="0"/>
        <v>Pending</v>
      </c>
      <c r="H49" s="20">
        <v>1</v>
      </c>
      <c r="I49" s="21">
        <v>20</v>
      </c>
      <c r="J49" s="22">
        <v>0</v>
      </c>
      <c r="K49" s="22">
        <f t="shared" ref="K49:K50" si="331">MAX(I49-J49, 0)</f>
        <v>20</v>
      </c>
      <c r="L49" s="23" t="str">
        <f>IF(SUMPRODUCT($J$62:K$62,$J49:K49)&lt;0.5, "Pending", IF(K49&lt;0.5, "Complete", "In Progress"))</f>
        <v>Pending</v>
      </c>
      <c r="M49" s="22">
        <v>0</v>
      </c>
      <c r="N49" s="22">
        <f t="shared" ref="N49:N50" si="332">MAX(K49-M49,0)</f>
        <v>20</v>
      </c>
      <c r="O49" s="23" t="str">
        <f>IF(SUMPRODUCT($J$62:N$62,$J49:N49)&lt;0.5, "Pending", IF(N49&lt;0.5, "Complete", "In Progress"))</f>
        <v>Pending</v>
      </c>
      <c r="P49" s="22">
        <v>0</v>
      </c>
      <c r="Q49" s="22">
        <f t="shared" ref="Q49:Q50" si="333">MAX(N49-P49,0)</f>
        <v>20</v>
      </c>
      <c r="R49" s="23" t="str">
        <f>IF(SUMPRODUCT($J$62:Q$62,$J49:Q49)&lt;0.5, "Pending", IF(Q49&lt;0.5, "Complete", "In Progress"))</f>
        <v>Pending</v>
      </c>
      <c r="S49" s="22">
        <v>0</v>
      </c>
      <c r="T49" s="22">
        <f t="shared" ref="T49:T50" si="334">MAX(Q49-S49,0)</f>
        <v>20</v>
      </c>
      <c r="U49" s="23" t="str">
        <f>IF(SUMPRODUCT($J$62:T$62,$J49:T49)&lt;0.5, "Pending", IF(T49&lt;0.5, "Complete", "In Progress"))</f>
        <v>Pending</v>
      </c>
      <c r="V49" s="22">
        <v>0</v>
      </c>
      <c r="W49" s="22">
        <f t="shared" ref="W49:W50" si="335">MAX(T49-V49,0)</f>
        <v>20</v>
      </c>
      <c r="X49" s="23" t="str">
        <f>IF(SUMPRODUCT($J$62:W$62,$J49:W49)&lt;0.5, "Pending", IF(W49&lt;0.5, "Complete", "In Progress"))</f>
        <v>Pending</v>
      </c>
      <c r="Y49" s="22">
        <v>0</v>
      </c>
      <c r="Z49" s="22">
        <f t="shared" ref="Z49:Z50" si="336">MAX(W49-Y49,0)</f>
        <v>20</v>
      </c>
      <c r="AA49" s="23" t="str">
        <f>IF(SUMPRODUCT($J$62:Z$62,$J49:Z49)&lt;0.5, "Pending", IF(Z49&lt;0.5, "Complete", "In Progress"))</f>
        <v>Pending</v>
      </c>
      <c r="AB49" s="22">
        <v>0</v>
      </c>
      <c r="AC49" s="22">
        <f t="shared" ref="AC49:AC50" si="337">MAX(Z49-AB49,0)</f>
        <v>20</v>
      </c>
      <c r="AD49" s="23" t="str">
        <f>IF(SUMPRODUCT($J$62:AC$62,$J49:AC49)&lt;0.5, "Pending", IF(AC49&lt;0.5, "Complete", "In Progress"))</f>
        <v>Pending</v>
      </c>
      <c r="AE49" s="22">
        <v>0</v>
      </c>
      <c r="AF49" s="22">
        <f t="shared" ref="AF49:AF50" si="338">MAX(AC49-AE49,0)</f>
        <v>20</v>
      </c>
      <c r="AG49" s="23" t="str">
        <f>IF(SUMPRODUCT($J$62:AF$62,$J49:AF49)&lt;0.5, "Pending", IF(AF49&lt;0.5, "Complete", "In Progress"))</f>
        <v>Pending</v>
      </c>
      <c r="AH49" s="22">
        <v>0</v>
      </c>
      <c r="AI49" s="22">
        <f t="shared" ref="AI49:AI50" si="339">MAX(AF49-AH49,0)</f>
        <v>20</v>
      </c>
      <c r="AJ49" s="23" t="str">
        <f>IF(SUMPRODUCT($J$62:AI$62,$J49:AI49)&lt;0.5, "Pending", IF(AI49&lt;0.5, "Complete", "In Progress"))</f>
        <v>Pending</v>
      </c>
      <c r="AK49" s="22">
        <v>0</v>
      </c>
      <c r="AL49" s="22">
        <f t="shared" ref="AL49:AL50" si="340">MAX(AI49-AK49,0)</f>
        <v>20</v>
      </c>
      <c r="AM49" s="23" t="str">
        <f>IF(SUMPRODUCT($J$62:AL$62,$J49:AL49)&lt;0.5, "Pending", IF(AL49&lt;0.5, "Complete", "In Progress"))</f>
        <v>Pending</v>
      </c>
      <c r="AN49" s="22">
        <v>0</v>
      </c>
      <c r="AO49" s="22">
        <f t="shared" ref="AO49:AO50" si="341">MAX(AL49-AN49,0)</f>
        <v>20</v>
      </c>
      <c r="AP49" s="23" t="str">
        <f>IF(SUMPRODUCT($J$62:AO$62,$J49:AO49)&lt;0.5, "Pending", IF(AO49&lt;0.5, "Complete", "In Progress"))</f>
        <v>Pending</v>
      </c>
      <c r="AQ49" s="22">
        <v>0</v>
      </c>
      <c r="AR49" s="22">
        <f t="shared" ref="AR49:AR50" si="342">MAX(AO49-AQ49,0)</f>
        <v>20</v>
      </c>
      <c r="AS49" s="23" t="str">
        <f>IF(SUMPRODUCT($J$62:AR$62,$J49:AR49)&lt;0.5, "Pending", IF(AR49&lt;0.5, "Complete", "In Progress"))</f>
        <v>Pending</v>
      </c>
      <c r="AT49" s="22">
        <v>0</v>
      </c>
      <c r="AU49" s="22">
        <f t="shared" ref="AU49:AU50" si="343">MAX(AR49-AT49,0)</f>
        <v>20</v>
      </c>
      <c r="AV49" s="23" t="str">
        <f>IF(SUMPRODUCT($J$62:AU$62,$J49:AU49)&lt;0.5, "Pending", IF(AU49&lt;0.5, "Complete", "In Progress"))</f>
        <v>Pending</v>
      </c>
      <c r="AW49" s="22">
        <v>0</v>
      </c>
      <c r="AX49" s="22">
        <f t="shared" ref="AX49:AX50" si="344">MAX(AU49-AW49,0)</f>
        <v>20</v>
      </c>
      <c r="AY49" s="23" t="str">
        <f>IF(SUMPRODUCT($J$62:AX$62,$J49:AX49)&lt;0.5, "Pending", IF(AX49&lt;0.5, "Complete", "In Progress"))</f>
        <v>Pending</v>
      </c>
      <c r="AZ49" s="22">
        <v>0</v>
      </c>
      <c r="BA49" s="22">
        <f t="shared" ref="BA49:BA50" si="345">MAX(AX49-AZ49,0)</f>
        <v>20</v>
      </c>
      <c r="BB49" s="23" t="str">
        <f>IF(SUMPRODUCT($J$62:BA$62,$J49:BA49)&lt;0.5, "Pending", IF(BA49&lt;0.5, "Complete", "In Progress"))</f>
        <v>Pending</v>
      </c>
      <c r="BC49" s="22">
        <v>0</v>
      </c>
      <c r="BD49" s="22">
        <f t="shared" ref="BD49:BD50" si="346">MAX(BA49-BC49,0)</f>
        <v>20</v>
      </c>
      <c r="BE49" s="23" t="str">
        <f>IF(SUMPRODUCT($J$62:BD$62,$J49:BD49)&lt;0.5, "Pending", IF(BD49&lt;0.5, "Complete", "In Progress"))</f>
        <v>Pending</v>
      </c>
      <c r="BF49" s="22">
        <v>0</v>
      </c>
      <c r="BG49" s="22">
        <f t="shared" ref="BG49:BG50" si="347">MAX(BD49-BF49,0)</f>
        <v>20</v>
      </c>
      <c r="BH49" s="23" t="str">
        <f>IF(SUMPRODUCT($J$62:BG$62,$J49:BG49)&lt;0.5, "Pending", IF(BG49&lt;0.5, "Complete", "In Progress"))</f>
        <v>Pending</v>
      </c>
      <c r="BI49" s="22">
        <v>0</v>
      </c>
      <c r="BJ49" s="22">
        <f t="shared" ref="BJ49:BJ50" si="348">MAX(BG49-BI49,0)</f>
        <v>20</v>
      </c>
      <c r="BK49" s="23" t="str">
        <f>IF(SUMPRODUCT($J$62:BJ$62,$J49:BJ49)&lt;0.5, "Pending", IF(BJ49&lt;0.5, "Complete", "In Progress"))</f>
        <v>Pending</v>
      </c>
      <c r="BL49" s="22">
        <v>0</v>
      </c>
      <c r="BM49" s="22">
        <f t="shared" ref="BM49:BM50" si="349">MAX(BJ49-BL49,0)</f>
        <v>20</v>
      </c>
      <c r="BN49" s="23" t="str">
        <f>IF(SUMPRODUCT($J$62:BM$62,$J49:BM49)&lt;0.5, "Pending", IF(BM49&lt;0.5, "Complete", "In Progress"))</f>
        <v>Pending</v>
      </c>
      <c r="BO49" s="22">
        <v>0</v>
      </c>
      <c r="BP49" s="22">
        <f t="shared" ref="BP49:BP50" si="350">MAX(BM49-BO49,0)</f>
        <v>20</v>
      </c>
      <c r="BQ49" s="23" t="str">
        <f>IF(SUMPRODUCT($J$62:BP$62,$J49:BP49)&lt;0.5, "Pending", IF(BP49&lt;0.5, "Complete", "In Progress"))</f>
        <v>Pending</v>
      </c>
      <c r="BR49" s="22">
        <v>0</v>
      </c>
      <c r="BS49" s="22">
        <f t="shared" ref="BS49:BS50" si="351">MAX(BP49-BR49,0)</f>
        <v>20</v>
      </c>
      <c r="BT49" s="23" t="str">
        <f>IF(SUMPRODUCT($J$62:BS$62,$J49:BS49)&lt;0.5, "Pending", IF(BS49&lt;0.5, "Complete", "In Progress"))</f>
        <v>Pending</v>
      </c>
      <c r="BU49" s="22">
        <v>0</v>
      </c>
      <c r="BV49" s="22">
        <f t="shared" ref="BV49:BV50" si="352">MAX(BS49-BU49,0)</f>
        <v>20</v>
      </c>
      <c r="BW49" s="23" t="str">
        <f>IF(SUMPRODUCT($J$62:BV$62,$J49:BV49)&lt;0.5, "Pending", IF(BV49&lt;0.5, "Complete", "In Progress"))</f>
        <v>Pending</v>
      </c>
      <c r="BX49" s="22">
        <v>0</v>
      </c>
      <c r="BY49" s="22">
        <f t="shared" ref="BY49:BY50" si="353">MAX(BV49-BX49,0)</f>
        <v>20</v>
      </c>
      <c r="BZ49" s="23" t="str">
        <f>IF(SUMPRODUCT($J$62:BY$62,$J49:BY49)&lt;0.5, "Pending", IF(BY49&lt;0.5, "Complete", "In Progress"))</f>
        <v>Pending</v>
      </c>
      <c r="CA49" s="22">
        <v>0</v>
      </c>
      <c r="CB49" s="22">
        <f t="shared" ref="CB49:CB50" si="354">MAX(BY49-CA49,0)</f>
        <v>20</v>
      </c>
      <c r="CC49" s="23" t="str">
        <f>IF(SUMPRODUCT($J$62:CB$62,$J49:CB49)&lt;0.5, "Pending", IF(CB49&lt;0.5, "Complete", "In Progress"))</f>
        <v>Pending</v>
      </c>
      <c r="CD49" s="22">
        <v>0</v>
      </c>
      <c r="CE49" s="22">
        <f t="shared" ref="CE49:CE50" si="355">MAX(CB49-CD49,0)</f>
        <v>20</v>
      </c>
      <c r="CF49" s="23" t="str">
        <f>IF(SUMPRODUCT($J$62:CE$62,$J49:CE49)&lt;0.5, "Pending", IF(CE49&lt;0.5, "Complete", "In Progress"))</f>
        <v>Pending</v>
      </c>
      <c r="CG49" s="22">
        <v>0</v>
      </c>
      <c r="CH49" s="22">
        <f t="shared" ref="CH49:CH50" si="356">MAX(CE49-CG49,0)</f>
        <v>20</v>
      </c>
      <c r="CI49" s="23" t="str">
        <f>IF(SUMPRODUCT($J$62:CH$62,$J49:CH49)&lt;0.5, "Pending", IF(CH49&lt;0.5, "Complete", "In Progress"))</f>
        <v>Pending</v>
      </c>
      <c r="CJ49" s="22">
        <v>0</v>
      </c>
      <c r="CK49" s="22">
        <f t="shared" ref="CK49:CK50" si="357">MAX(CH49-CJ49,0)</f>
        <v>20</v>
      </c>
      <c r="CL49" s="23" t="str">
        <f>IF(SUMPRODUCT($J$62:CK$62,$J49:CK49)&lt;0.5, "Pending", IF(CK49&lt;0.5, "Complete", "In Progress"))</f>
        <v>Pending</v>
      </c>
      <c r="CM49" s="22">
        <v>0</v>
      </c>
      <c r="CN49" s="22">
        <f t="shared" ref="CN49:CN50" si="358">MAX(CK49-CM49,0)</f>
        <v>20</v>
      </c>
      <c r="CO49" s="23" t="str">
        <f>IF(SUMPRODUCT($J$62:CN$62,$J49:CN49)&lt;0.5, "Pending", IF(CN49&lt;0.5, "Complete", "In Progress"))</f>
        <v>Pending</v>
      </c>
      <c r="CP49" s="22">
        <v>0</v>
      </c>
      <c r="CQ49" s="22">
        <f t="shared" ref="CQ49:CQ50" si="359">MAX(CN49-CP49,0)</f>
        <v>20</v>
      </c>
      <c r="CR49" s="23" t="str">
        <f>IF(SUMPRODUCT($J$62:CQ$62,$J49:CQ49)&lt;0.5, "Pending", IF(CQ49&lt;0.5, "Complete", "In Progress"))</f>
        <v>Pending</v>
      </c>
      <c r="CS49" s="22">
        <v>0</v>
      </c>
      <c r="CT49" s="22">
        <f t="shared" ref="CT49:CT50" si="360">MAX(CQ49-CS49,0)</f>
        <v>20</v>
      </c>
      <c r="CU49" s="23" t="str">
        <f>IF(SUMPRODUCT($J$62:CT$62,$J49:CT49)&lt;0.5, "Pending", IF(CT49&lt;0.5, "Complete", "In Progress"))</f>
        <v>Pending</v>
      </c>
      <c r="CV49" s="22">
        <v>0</v>
      </c>
      <c r="CW49" s="22">
        <f t="shared" ref="CW49:CW50" si="361">MAX(CT49-CV49,0)</f>
        <v>20</v>
      </c>
      <c r="CX49" s="23" t="str">
        <f>IF(SUMPRODUCT($J$62:CW$62,$J49:CW49)&lt;0.5, "Pending", IF(CW49&lt;0.5, "Complete", "In Progress"))</f>
        <v>Pending</v>
      </c>
      <c r="CY49" s="22">
        <v>0</v>
      </c>
      <c r="CZ49" s="22">
        <f t="shared" ref="CZ49:CZ50" si="362">MAX(CW49-CY49,0)</f>
        <v>20</v>
      </c>
      <c r="DA49" s="23" t="str">
        <f>IF(SUMPRODUCT($J$62:CZ$62,$J49:CZ49)&lt;0.5, "Pending", IF(CZ49&lt;0.5, "Complete", "In Progress"))</f>
        <v>Pending</v>
      </c>
      <c r="DB49" s="22">
        <v>0</v>
      </c>
      <c r="DC49" s="22">
        <f t="shared" ref="DC49:DC50" si="363">MAX(CZ49-DB49,0)</f>
        <v>20</v>
      </c>
      <c r="DD49" s="23" t="str">
        <f>IF(SUMPRODUCT($J$62:DC$62,$J49:DC49)&lt;0.5, "Pending", IF(DC49&lt;0.5, "Complete", "In Progress"))</f>
        <v>Pending</v>
      </c>
      <c r="DE49" s="22">
        <v>0</v>
      </c>
      <c r="DF49" s="22">
        <f t="shared" ref="DF49:DF50" si="364">MAX(DC49-DE49,0)</f>
        <v>20</v>
      </c>
      <c r="DG49" s="23" t="str">
        <f>IF(SUMPRODUCT($J$62:DF$62,$J49:DF49)&lt;0.5, "Pending", IF(DF49&lt;0.5, "Complete", "In Progress"))</f>
        <v>Pending</v>
      </c>
      <c r="DH49" s="22">
        <v>0</v>
      </c>
      <c r="DI49" s="22">
        <f t="shared" ref="DI49:DI50" si="365">MAX(DF49-DH49,0)</f>
        <v>20</v>
      </c>
      <c r="DJ49" s="23" t="str">
        <f>IF(SUMPRODUCT($J$62:DI$62,$J49:DI49)&lt;0.5, "Pending", IF(DI49&lt;0.5, "Complete", "In Progress"))</f>
        <v>Pending</v>
      </c>
      <c r="DK49" s="22">
        <v>0</v>
      </c>
      <c r="DL49" s="22">
        <f t="shared" ref="DL49:DL50" si="366">MAX(DI49-DK49,0)</f>
        <v>20</v>
      </c>
      <c r="DM49" s="23" t="str">
        <f>IF(SUMPRODUCT($J$62:DL$62,$J49:DL49)&lt;0.5, "Pending", IF(DL49&lt;0.5, "Complete", "In Progress"))</f>
        <v>Pending</v>
      </c>
      <c r="DN49" s="22">
        <v>0</v>
      </c>
      <c r="DO49" s="22">
        <f t="shared" ref="DO49:DO50" si="367">MAX(DL49-DN49,0)</f>
        <v>20</v>
      </c>
      <c r="DP49" s="23" t="str">
        <f>IF(SUMPRODUCT($J$62:DO$62,$J49:DO49)&lt;0.5, "Pending", IF(DO49&lt;0.5, "Complete", "In Progress"))</f>
        <v>Pending</v>
      </c>
      <c r="DQ49" s="22">
        <v>0</v>
      </c>
      <c r="DR49" s="22">
        <f t="shared" ref="DR49:DR50" si="368">MAX(DO49-DQ49,0)</f>
        <v>20</v>
      </c>
      <c r="DS49" s="23" t="str">
        <f>IF(SUMPRODUCT($J$62:DR$62,$J49:DR49)&lt;0.5, "Pending", IF(DR49&lt;0.5, "Complete", "In Progress"))</f>
        <v>Pending</v>
      </c>
      <c r="DT49" s="22">
        <v>0</v>
      </c>
      <c r="DU49" s="22">
        <f t="shared" ref="DU49:DU50" si="369">MAX(DR49-DT49,0)</f>
        <v>20</v>
      </c>
      <c r="DV49" s="23" t="str">
        <f>IF(SUMPRODUCT($J$62:DU$62,$J49:DU49)&lt;0.5, "Pending", IF(DU49&lt;0.5, "Complete", "In Progress"))</f>
        <v>Pending</v>
      </c>
      <c r="DW49" s="22">
        <v>0</v>
      </c>
      <c r="DX49" s="22">
        <f t="shared" ref="DX49:DX50" si="370">MAX(DU49-DW49,0)</f>
        <v>20</v>
      </c>
      <c r="DY49" s="23" t="str">
        <f>IF(SUMPRODUCT($J$62:DX$62,$J49:DX49)&lt;0.5, "Pending", IF(DX49&lt;0.5, "Complete", "In Progress"))</f>
        <v>Pending</v>
      </c>
      <c r="DZ49" s="24"/>
      <c r="EA49" s="25">
        <f>SUMPRODUCT($H$62:DG$62,$H49:DG49)</f>
        <v>0</v>
      </c>
    </row>
    <row r="50" spans="1:131" x14ac:dyDescent="0.25">
      <c r="A50" s="16" t="s">
        <v>124</v>
      </c>
      <c r="B50" s="16" t="s">
        <v>152</v>
      </c>
      <c r="C50" s="16" t="s">
        <v>121</v>
      </c>
      <c r="D50" s="17">
        <v>14</v>
      </c>
      <c r="E50" s="199" t="s">
        <v>159</v>
      </c>
      <c r="F50" s="18" t="s">
        <v>129</v>
      </c>
      <c r="G50" s="19" t="str">
        <f t="shared" ca="1" si="0"/>
        <v>Pending</v>
      </c>
      <c r="H50" s="20">
        <v>1</v>
      </c>
      <c r="I50" s="21">
        <v>20</v>
      </c>
      <c r="J50" s="22">
        <v>0</v>
      </c>
      <c r="K50" s="22">
        <f t="shared" si="331"/>
        <v>20</v>
      </c>
      <c r="L50" s="23" t="str">
        <f>IF(SUMPRODUCT($J$62:K$62,$J50:K50)&lt;0.5, "Pending", IF(K50&lt;0.5, "Complete", "In Progress"))</f>
        <v>Pending</v>
      </c>
      <c r="M50" s="22">
        <v>0</v>
      </c>
      <c r="N50" s="22">
        <f t="shared" si="332"/>
        <v>20</v>
      </c>
      <c r="O50" s="23" t="str">
        <f>IF(SUMPRODUCT($J$62:N$62,$J50:N50)&lt;0.5, "Pending", IF(N50&lt;0.5, "Complete", "In Progress"))</f>
        <v>Pending</v>
      </c>
      <c r="P50" s="22">
        <v>0</v>
      </c>
      <c r="Q50" s="22">
        <f t="shared" si="333"/>
        <v>20</v>
      </c>
      <c r="R50" s="23" t="str">
        <f>IF(SUMPRODUCT($J$62:Q$62,$J50:Q50)&lt;0.5, "Pending", IF(Q50&lt;0.5, "Complete", "In Progress"))</f>
        <v>Pending</v>
      </c>
      <c r="S50" s="22">
        <v>0</v>
      </c>
      <c r="T50" s="22">
        <f t="shared" si="334"/>
        <v>20</v>
      </c>
      <c r="U50" s="23" t="str">
        <f>IF(SUMPRODUCT($J$62:T$62,$J50:T50)&lt;0.5, "Pending", IF(T50&lt;0.5, "Complete", "In Progress"))</f>
        <v>Pending</v>
      </c>
      <c r="V50" s="22">
        <v>0</v>
      </c>
      <c r="W50" s="22">
        <f t="shared" si="335"/>
        <v>20</v>
      </c>
      <c r="X50" s="23" t="str">
        <f>IF(SUMPRODUCT($J$62:W$62,$J50:W50)&lt;0.5, "Pending", IF(W50&lt;0.5, "Complete", "In Progress"))</f>
        <v>Pending</v>
      </c>
      <c r="Y50" s="22">
        <v>0</v>
      </c>
      <c r="Z50" s="22">
        <f t="shared" si="336"/>
        <v>20</v>
      </c>
      <c r="AA50" s="23" t="str">
        <f>IF(SUMPRODUCT($J$62:Z$62,$J50:Z50)&lt;0.5, "Pending", IF(Z50&lt;0.5, "Complete", "In Progress"))</f>
        <v>Pending</v>
      </c>
      <c r="AB50" s="22">
        <v>0</v>
      </c>
      <c r="AC50" s="22">
        <f t="shared" si="337"/>
        <v>20</v>
      </c>
      <c r="AD50" s="23" t="str">
        <f>IF(SUMPRODUCT($J$62:AC$62,$J50:AC50)&lt;0.5, "Pending", IF(AC50&lt;0.5, "Complete", "In Progress"))</f>
        <v>Pending</v>
      </c>
      <c r="AE50" s="22">
        <v>0</v>
      </c>
      <c r="AF50" s="22">
        <f t="shared" si="338"/>
        <v>20</v>
      </c>
      <c r="AG50" s="23" t="str">
        <f>IF(SUMPRODUCT($J$62:AF$62,$J50:AF50)&lt;0.5, "Pending", IF(AF50&lt;0.5, "Complete", "In Progress"))</f>
        <v>Pending</v>
      </c>
      <c r="AH50" s="22">
        <v>0</v>
      </c>
      <c r="AI50" s="22">
        <f t="shared" si="339"/>
        <v>20</v>
      </c>
      <c r="AJ50" s="23" t="str">
        <f>IF(SUMPRODUCT($J$62:AI$62,$J50:AI50)&lt;0.5, "Pending", IF(AI50&lt;0.5, "Complete", "In Progress"))</f>
        <v>Pending</v>
      </c>
      <c r="AK50" s="22">
        <v>0</v>
      </c>
      <c r="AL50" s="22">
        <f t="shared" si="340"/>
        <v>20</v>
      </c>
      <c r="AM50" s="23" t="str">
        <f>IF(SUMPRODUCT($J$62:AL$62,$J50:AL50)&lt;0.5, "Pending", IF(AL50&lt;0.5, "Complete", "In Progress"))</f>
        <v>Pending</v>
      </c>
      <c r="AN50" s="22">
        <v>0</v>
      </c>
      <c r="AO50" s="22">
        <f t="shared" si="341"/>
        <v>20</v>
      </c>
      <c r="AP50" s="23" t="str">
        <f>IF(SUMPRODUCT($J$62:AO$62,$J50:AO50)&lt;0.5, "Pending", IF(AO50&lt;0.5, "Complete", "In Progress"))</f>
        <v>Pending</v>
      </c>
      <c r="AQ50" s="22">
        <v>0</v>
      </c>
      <c r="AR50" s="22">
        <f t="shared" si="342"/>
        <v>20</v>
      </c>
      <c r="AS50" s="23" t="str">
        <f>IF(SUMPRODUCT($J$62:AR$62,$J50:AR50)&lt;0.5, "Pending", IF(AR50&lt;0.5, "Complete", "In Progress"))</f>
        <v>Pending</v>
      </c>
      <c r="AT50" s="22">
        <v>0</v>
      </c>
      <c r="AU50" s="22">
        <f t="shared" si="343"/>
        <v>20</v>
      </c>
      <c r="AV50" s="23" t="str">
        <f>IF(SUMPRODUCT($J$62:AU$62,$J50:AU50)&lt;0.5, "Pending", IF(AU50&lt;0.5, "Complete", "In Progress"))</f>
        <v>Pending</v>
      </c>
      <c r="AW50" s="22">
        <v>0</v>
      </c>
      <c r="AX50" s="22">
        <f t="shared" si="344"/>
        <v>20</v>
      </c>
      <c r="AY50" s="23" t="str">
        <f>IF(SUMPRODUCT($J$62:AX$62,$J50:AX50)&lt;0.5, "Pending", IF(AX50&lt;0.5, "Complete", "In Progress"))</f>
        <v>Pending</v>
      </c>
      <c r="AZ50" s="22">
        <v>0</v>
      </c>
      <c r="BA50" s="22">
        <f t="shared" si="345"/>
        <v>20</v>
      </c>
      <c r="BB50" s="23" t="str">
        <f>IF(SUMPRODUCT($J$62:BA$62,$J50:BA50)&lt;0.5, "Pending", IF(BA50&lt;0.5, "Complete", "In Progress"))</f>
        <v>Pending</v>
      </c>
      <c r="BC50" s="22">
        <v>0</v>
      </c>
      <c r="BD50" s="22">
        <f t="shared" si="346"/>
        <v>20</v>
      </c>
      <c r="BE50" s="23" t="str">
        <f>IF(SUMPRODUCT($J$62:BD$62,$J50:BD50)&lt;0.5, "Pending", IF(BD50&lt;0.5, "Complete", "In Progress"))</f>
        <v>Pending</v>
      </c>
      <c r="BF50" s="22">
        <v>0</v>
      </c>
      <c r="BG50" s="22">
        <f t="shared" si="347"/>
        <v>20</v>
      </c>
      <c r="BH50" s="23" t="str">
        <f>IF(SUMPRODUCT($J$62:BG$62,$J50:BG50)&lt;0.5, "Pending", IF(BG50&lt;0.5, "Complete", "In Progress"))</f>
        <v>Pending</v>
      </c>
      <c r="BI50" s="22">
        <v>0</v>
      </c>
      <c r="BJ50" s="22">
        <f t="shared" si="348"/>
        <v>20</v>
      </c>
      <c r="BK50" s="23" t="str">
        <f>IF(SUMPRODUCT($J$62:BJ$62,$J50:BJ50)&lt;0.5, "Pending", IF(BJ50&lt;0.5, "Complete", "In Progress"))</f>
        <v>Pending</v>
      </c>
      <c r="BL50" s="22">
        <v>0</v>
      </c>
      <c r="BM50" s="22">
        <f t="shared" si="349"/>
        <v>20</v>
      </c>
      <c r="BN50" s="23" t="str">
        <f>IF(SUMPRODUCT($J$62:BM$62,$J50:BM50)&lt;0.5, "Pending", IF(BM50&lt;0.5, "Complete", "In Progress"))</f>
        <v>Pending</v>
      </c>
      <c r="BO50" s="22">
        <v>0</v>
      </c>
      <c r="BP50" s="22">
        <f t="shared" si="350"/>
        <v>20</v>
      </c>
      <c r="BQ50" s="23" t="str">
        <f>IF(SUMPRODUCT($J$62:BP$62,$J50:BP50)&lt;0.5, "Pending", IF(BP50&lt;0.5, "Complete", "In Progress"))</f>
        <v>Pending</v>
      </c>
      <c r="BR50" s="22">
        <v>0</v>
      </c>
      <c r="BS50" s="22">
        <f t="shared" si="351"/>
        <v>20</v>
      </c>
      <c r="BT50" s="23" t="str">
        <f>IF(SUMPRODUCT($J$62:BS$62,$J50:BS50)&lt;0.5, "Pending", IF(BS50&lt;0.5, "Complete", "In Progress"))</f>
        <v>Pending</v>
      </c>
      <c r="BU50" s="22">
        <v>0</v>
      </c>
      <c r="BV50" s="22">
        <f t="shared" si="352"/>
        <v>20</v>
      </c>
      <c r="BW50" s="23" t="str">
        <f>IF(SUMPRODUCT($J$62:BV$62,$J50:BV50)&lt;0.5, "Pending", IF(BV50&lt;0.5, "Complete", "In Progress"))</f>
        <v>Pending</v>
      </c>
      <c r="BX50" s="22">
        <v>0</v>
      </c>
      <c r="BY50" s="22">
        <f t="shared" si="353"/>
        <v>20</v>
      </c>
      <c r="BZ50" s="23" t="str">
        <f>IF(SUMPRODUCT($J$62:BY$62,$J50:BY50)&lt;0.5, "Pending", IF(BY50&lt;0.5, "Complete", "In Progress"))</f>
        <v>Pending</v>
      </c>
      <c r="CA50" s="22">
        <v>0</v>
      </c>
      <c r="CB50" s="22">
        <f t="shared" si="354"/>
        <v>20</v>
      </c>
      <c r="CC50" s="23" t="str">
        <f>IF(SUMPRODUCT($J$62:CB$62,$J50:CB50)&lt;0.5, "Pending", IF(CB50&lt;0.5, "Complete", "In Progress"))</f>
        <v>Pending</v>
      </c>
      <c r="CD50" s="22">
        <v>0</v>
      </c>
      <c r="CE50" s="22">
        <f t="shared" si="355"/>
        <v>20</v>
      </c>
      <c r="CF50" s="23" t="str">
        <f>IF(SUMPRODUCT($J$62:CE$62,$J50:CE50)&lt;0.5, "Pending", IF(CE50&lt;0.5, "Complete", "In Progress"))</f>
        <v>Pending</v>
      </c>
      <c r="CG50" s="22">
        <v>0</v>
      </c>
      <c r="CH50" s="22">
        <f t="shared" si="356"/>
        <v>20</v>
      </c>
      <c r="CI50" s="23" t="str">
        <f>IF(SUMPRODUCT($J$62:CH$62,$J50:CH50)&lt;0.5, "Pending", IF(CH50&lt;0.5, "Complete", "In Progress"))</f>
        <v>Pending</v>
      </c>
      <c r="CJ50" s="22">
        <v>0</v>
      </c>
      <c r="CK50" s="22">
        <f t="shared" si="357"/>
        <v>20</v>
      </c>
      <c r="CL50" s="23" t="str">
        <f>IF(SUMPRODUCT($J$62:CK$62,$J50:CK50)&lt;0.5, "Pending", IF(CK50&lt;0.5, "Complete", "In Progress"))</f>
        <v>Pending</v>
      </c>
      <c r="CM50" s="22">
        <v>0</v>
      </c>
      <c r="CN50" s="22">
        <f t="shared" si="358"/>
        <v>20</v>
      </c>
      <c r="CO50" s="23" t="str">
        <f>IF(SUMPRODUCT($J$62:CN$62,$J50:CN50)&lt;0.5, "Pending", IF(CN50&lt;0.5, "Complete", "In Progress"))</f>
        <v>Pending</v>
      </c>
      <c r="CP50" s="22">
        <v>0</v>
      </c>
      <c r="CQ50" s="22">
        <f t="shared" si="359"/>
        <v>20</v>
      </c>
      <c r="CR50" s="23" t="str">
        <f>IF(SUMPRODUCT($J$62:CQ$62,$J50:CQ50)&lt;0.5, "Pending", IF(CQ50&lt;0.5, "Complete", "In Progress"))</f>
        <v>Pending</v>
      </c>
      <c r="CS50" s="22">
        <v>0</v>
      </c>
      <c r="CT50" s="22">
        <f t="shared" si="360"/>
        <v>20</v>
      </c>
      <c r="CU50" s="23" t="str">
        <f>IF(SUMPRODUCT($J$62:CT$62,$J50:CT50)&lt;0.5, "Pending", IF(CT50&lt;0.5, "Complete", "In Progress"))</f>
        <v>Pending</v>
      </c>
      <c r="CV50" s="22">
        <v>0</v>
      </c>
      <c r="CW50" s="22">
        <f t="shared" si="361"/>
        <v>20</v>
      </c>
      <c r="CX50" s="23" t="str">
        <f>IF(SUMPRODUCT($J$62:CW$62,$J50:CW50)&lt;0.5, "Pending", IF(CW50&lt;0.5, "Complete", "In Progress"))</f>
        <v>Pending</v>
      </c>
      <c r="CY50" s="22">
        <v>0</v>
      </c>
      <c r="CZ50" s="22">
        <f t="shared" si="362"/>
        <v>20</v>
      </c>
      <c r="DA50" s="23" t="str">
        <f>IF(SUMPRODUCT($J$62:CZ$62,$J50:CZ50)&lt;0.5, "Pending", IF(CZ50&lt;0.5, "Complete", "In Progress"))</f>
        <v>Pending</v>
      </c>
      <c r="DB50" s="22">
        <v>0</v>
      </c>
      <c r="DC50" s="22">
        <f t="shared" si="363"/>
        <v>20</v>
      </c>
      <c r="DD50" s="23" t="str">
        <f>IF(SUMPRODUCT($J$62:DC$62,$J50:DC50)&lt;0.5, "Pending", IF(DC50&lt;0.5, "Complete", "In Progress"))</f>
        <v>Pending</v>
      </c>
      <c r="DE50" s="22">
        <v>0</v>
      </c>
      <c r="DF50" s="22">
        <f t="shared" si="364"/>
        <v>20</v>
      </c>
      <c r="DG50" s="23" t="str">
        <f>IF(SUMPRODUCT($J$62:DF$62,$J50:DF50)&lt;0.5, "Pending", IF(DF50&lt;0.5, "Complete", "In Progress"))</f>
        <v>Pending</v>
      </c>
      <c r="DH50" s="22">
        <v>0</v>
      </c>
      <c r="DI50" s="22">
        <f t="shared" si="365"/>
        <v>20</v>
      </c>
      <c r="DJ50" s="23" t="str">
        <f>IF(SUMPRODUCT($J$62:DI$62,$J50:DI50)&lt;0.5, "Pending", IF(DI50&lt;0.5, "Complete", "In Progress"))</f>
        <v>Pending</v>
      </c>
      <c r="DK50" s="22">
        <v>0</v>
      </c>
      <c r="DL50" s="22">
        <f t="shared" si="366"/>
        <v>20</v>
      </c>
      <c r="DM50" s="23" t="str">
        <f>IF(SUMPRODUCT($J$62:DL$62,$J50:DL50)&lt;0.5, "Pending", IF(DL50&lt;0.5, "Complete", "In Progress"))</f>
        <v>Pending</v>
      </c>
      <c r="DN50" s="22">
        <v>0</v>
      </c>
      <c r="DO50" s="22">
        <f t="shared" si="367"/>
        <v>20</v>
      </c>
      <c r="DP50" s="23" t="str">
        <f>IF(SUMPRODUCT($J$62:DO$62,$J50:DO50)&lt;0.5, "Pending", IF(DO50&lt;0.5, "Complete", "In Progress"))</f>
        <v>Pending</v>
      </c>
      <c r="DQ50" s="22">
        <v>0</v>
      </c>
      <c r="DR50" s="22">
        <f t="shared" si="368"/>
        <v>20</v>
      </c>
      <c r="DS50" s="23" t="str">
        <f>IF(SUMPRODUCT($J$62:DR$62,$J50:DR50)&lt;0.5, "Pending", IF(DR50&lt;0.5, "Complete", "In Progress"))</f>
        <v>Pending</v>
      </c>
      <c r="DT50" s="22">
        <v>0</v>
      </c>
      <c r="DU50" s="22">
        <f t="shared" si="369"/>
        <v>20</v>
      </c>
      <c r="DV50" s="23" t="str">
        <f>IF(SUMPRODUCT($J$62:DU$62,$J50:DU50)&lt;0.5, "Pending", IF(DU50&lt;0.5, "Complete", "In Progress"))</f>
        <v>Pending</v>
      </c>
      <c r="DW50" s="22">
        <v>0</v>
      </c>
      <c r="DX50" s="22">
        <f t="shared" si="370"/>
        <v>20</v>
      </c>
      <c r="DY50" s="23" t="str">
        <f>IF(SUMPRODUCT($J$62:DX$62,$J50:DX50)&lt;0.5, "Pending", IF(DX50&lt;0.5, "Complete", "In Progress"))</f>
        <v>Pending</v>
      </c>
      <c r="DZ50" s="24"/>
      <c r="EA50" s="25">
        <f>SUMPRODUCT($H$62:DG$62,$H50:DG50)</f>
        <v>0</v>
      </c>
    </row>
    <row r="51" spans="1:131" x14ac:dyDescent="0.25">
      <c r="A51" s="16" t="s">
        <v>124</v>
      </c>
      <c r="B51" s="16" t="s">
        <v>152</v>
      </c>
      <c r="C51" s="16" t="s">
        <v>121</v>
      </c>
      <c r="D51" s="17">
        <v>14</v>
      </c>
      <c r="E51" s="199" t="s">
        <v>159</v>
      </c>
      <c r="F51" s="18" t="s">
        <v>134</v>
      </c>
      <c r="G51" s="19" t="str">
        <f t="shared" ca="1" si="0"/>
        <v>Pending</v>
      </c>
      <c r="H51" s="20">
        <v>1</v>
      </c>
      <c r="I51" s="21">
        <v>20</v>
      </c>
      <c r="J51" s="22">
        <v>0</v>
      </c>
      <c r="K51" s="22">
        <f t="shared" si="11"/>
        <v>20</v>
      </c>
      <c r="L51" s="23" t="str">
        <f>IF(SUMPRODUCT($J$62:K$62,$J51:K51)&lt;0.5, "Pending", IF(K51&lt;0.5, "Complete", "In Progress"))</f>
        <v>Pending</v>
      </c>
      <c r="M51" s="22">
        <v>0</v>
      </c>
      <c r="N51" s="22">
        <f t="shared" si="12"/>
        <v>20</v>
      </c>
      <c r="O51" s="23" t="str">
        <f>IF(SUMPRODUCT($J$62:N$62,$J51:N51)&lt;0.5, "Pending", IF(N51&lt;0.5, "Complete", "In Progress"))</f>
        <v>Pending</v>
      </c>
      <c r="P51" s="22">
        <v>0</v>
      </c>
      <c r="Q51" s="22">
        <f t="shared" si="13"/>
        <v>20</v>
      </c>
      <c r="R51" s="23" t="str">
        <f>IF(SUMPRODUCT($J$62:Q$62,$J51:Q51)&lt;0.5, "Pending", IF(Q51&lt;0.5, "Complete", "In Progress"))</f>
        <v>Pending</v>
      </c>
      <c r="S51" s="22">
        <v>0</v>
      </c>
      <c r="T51" s="22">
        <f t="shared" si="14"/>
        <v>20</v>
      </c>
      <c r="U51" s="23" t="str">
        <f>IF(SUMPRODUCT($J$62:T$62,$J51:T51)&lt;0.5, "Pending", IF(T51&lt;0.5, "Complete", "In Progress"))</f>
        <v>Pending</v>
      </c>
      <c r="V51" s="22">
        <v>0</v>
      </c>
      <c r="W51" s="22">
        <f t="shared" si="15"/>
        <v>20</v>
      </c>
      <c r="X51" s="23" t="str">
        <f>IF(SUMPRODUCT($J$62:W$62,$J51:W51)&lt;0.5, "Pending", IF(W51&lt;0.5, "Complete", "In Progress"))</f>
        <v>Pending</v>
      </c>
      <c r="Y51" s="22">
        <v>0</v>
      </c>
      <c r="Z51" s="22">
        <f t="shared" si="16"/>
        <v>20</v>
      </c>
      <c r="AA51" s="23" t="str">
        <f>IF(SUMPRODUCT($J$62:Z$62,$J51:Z51)&lt;0.5, "Pending", IF(Z51&lt;0.5, "Complete", "In Progress"))</f>
        <v>Pending</v>
      </c>
      <c r="AB51" s="22">
        <v>0</v>
      </c>
      <c r="AC51" s="22">
        <f t="shared" si="17"/>
        <v>20</v>
      </c>
      <c r="AD51" s="23" t="str">
        <f>IF(SUMPRODUCT($J$62:AC$62,$J51:AC51)&lt;0.5, "Pending", IF(AC51&lt;0.5, "Complete", "In Progress"))</f>
        <v>Pending</v>
      </c>
      <c r="AE51" s="22">
        <v>0</v>
      </c>
      <c r="AF51" s="22">
        <f t="shared" si="18"/>
        <v>20</v>
      </c>
      <c r="AG51" s="23" t="str">
        <f>IF(SUMPRODUCT($J$62:AF$62,$J51:AF51)&lt;0.5, "Pending", IF(AF51&lt;0.5, "Complete", "In Progress"))</f>
        <v>Pending</v>
      </c>
      <c r="AH51" s="22">
        <v>0</v>
      </c>
      <c r="AI51" s="22">
        <f t="shared" si="19"/>
        <v>20</v>
      </c>
      <c r="AJ51" s="23" t="str">
        <f>IF(SUMPRODUCT($J$62:AI$62,$J51:AI51)&lt;0.5, "Pending", IF(AI51&lt;0.5, "Complete", "In Progress"))</f>
        <v>Pending</v>
      </c>
      <c r="AK51" s="22">
        <v>0</v>
      </c>
      <c r="AL51" s="22">
        <f t="shared" si="20"/>
        <v>20</v>
      </c>
      <c r="AM51" s="23" t="str">
        <f>IF(SUMPRODUCT($J$62:AL$62,$J51:AL51)&lt;0.5, "Pending", IF(AL51&lt;0.5, "Complete", "In Progress"))</f>
        <v>Pending</v>
      </c>
      <c r="AN51" s="22">
        <v>0</v>
      </c>
      <c r="AO51" s="22">
        <f t="shared" si="21"/>
        <v>20</v>
      </c>
      <c r="AP51" s="23" t="str">
        <f>IF(SUMPRODUCT($J$62:AO$62,$J51:AO51)&lt;0.5, "Pending", IF(AO51&lt;0.5, "Complete", "In Progress"))</f>
        <v>Pending</v>
      </c>
      <c r="AQ51" s="22">
        <v>0</v>
      </c>
      <c r="AR51" s="22">
        <f t="shared" si="22"/>
        <v>20</v>
      </c>
      <c r="AS51" s="23" t="str">
        <f>IF(SUMPRODUCT($J$62:AR$62,$J51:AR51)&lt;0.5, "Pending", IF(AR51&lt;0.5, "Complete", "In Progress"))</f>
        <v>Pending</v>
      </c>
      <c r="AT51" s="22">
        <v>0</v>
      </c>
      <c r="AU51" s="22">
        <f t="shared" si="23"/>
        <v>20</v>
      </c>
      <c r="AV51" s="23" t="str">
        <f>IF(SUMPRODUCT($J$62:AU$62,$J51:AU51)&lt;0.5, "Pending", IF(AU51&lt;0.5, "Complete", "In Progress"))</f>
        <v>Pending</v>
      </c>
      <c r="AW51" s="22">
        <v>0</v>
      </c>
      <c r="AX51" s="22">
        <f t="shared" si="24"/>
        <v>20</v>
      </c>
      <c r="AY51" s="23" t="str">
        <f>IF(SUMPRODUCT($J$62:AX$62,$J51:AX51)&lt;0.5, "Pending", IF(AX51&lt;0.5, "Complete", "In Progress"))</f>
        <v>Pending</v>
      </c>
      <c r="AZ51" s="22">
        <v>0</v>
      </c>
      <c r="BA51" s="22">
        <f t="shared" si="25"/>
        <v>20</v>
      </c>
      <c r="BB51" s="23" t="str">
        <f>IF(SUMPRODUCT($J$62:BA$62,$J51:BA51)&lt;0.5, "Pending", IF(BA51&lt;0.5, "Complete", "In Progress"))</f>
        <v>Pending</v>
      </c>
      <c r="BC51" s="22">
        <v>0</v>
      </c>
      <c r="BD51" s="22">
        <f t="shared" si="26"/>
        <v>20</v>
      </c>
      <c r="BE51" s="23" t="str">
        <f>IF(SUMPRODUCT($J$62:BD$62,$J51:BD51)&lt;0.5, "Pending", IF(BD51&lt;0.5, "Complete", "In Progress"))</f>
        <v>Pending</v>
      </c>
      <c r="BF51" s="22">
        <v>0</v>
      </c>
      <c r="BG51" s="22">
        <f t="shared" si="27"/>
        <v>20</v>
      </c>
      <c r="BH51" s="23" t="str">
        <f>IF(SUMPRODUCT($J$62:BG$62,$J51:BG51)&lt;0.5, "Pending", IF(BG51&lt;0.5, "Complete", "In Progress"))</f>
        <v>Pending</v>
      </c>
      <c r="BI51" s="22">
        <v>0</v>
      </c>
      <c r="BJ51" s="22">
        <f t="shared" si="28"/>
        <v>20</v>
      </c>
      <c r="BK51" s="23" t="str">
        <f>IF(SUMPRODUCT($J$62:BJ$62,$J51:BJ51)&lt;0.5, "Pending", IF(BJ51&lt;0.5, "Complete", "In Progress"))</f>
        <v>Pending</v>
      </c>
      <c r="BL51" s="22">
        <v>0</v>
      </c>
      <c r="BM51" s="22">
        <f t="shared" si="29"/>
        <v>20</v>
      </c>
      <c r="BN51" s="23" t="str">
        <f>IF(SUMPRODUCT($J$62:BM$62,$J51:BM51)&lt;0.5, "Pending", IF(BM51&lt;0.5, "Complete", "In Progress"))</f>
        <v>Pending</v>
      </c>
      <c r="BO51" s="22">
        <v>0</v>
      </c>
      <c r="BP51" s="22">
        <f t="shared" si="30"/>
        <v>20</v>
      </c>
      <c r="BQ51" s="23" t="str">
        <f>IF(SUMPRODUCT($J$62:BP$62,$J51:BP51)&lt;0.5, "Pending", IF(BP51&lt;0.5, "Complete", "In Progress"))</f>
        <v>Pending</v>
      </c>
      <c r="BR51" s="22">
        <v>0</v>
      </c>
      <c r="BS51" s="22">
        <f t="shared" si="31"/>
        <v>20</v>
      </c>
      <c r="BT51" s="23" t="str">
        <f>IF(SUMPRODUCT($J$62:BS$62,$J51:BS51)&lt;0.5, "Pending", IF(BS51&lt;0.5, "Complete", "In Progress"))</f>
        <v>Pending</v>
      </c>
      <c r="BU51" s="22">
        <v>0</v>
      </c>
      <c r="BV51" s="22">
        <f t="shared" si="32"/>
        <v>20</v>
      </c>
      <c r="BW51" s="23" t="str">
        <f>IF(SUMPRODUCT($J$62:BV$62,$J51:BV51)&lt;0.5, "Pending", IF(BV51&lt;0.5, "Complete", "In Progress"))</f>
        <v>Pending</v>
      </c>
      <c r="BX51" s="22">
        <v>0</v>
      </c>
      <c r="BY51" s="22">
        <f t="shared" si="33"/>
        <v>20</v>
      </c>
      <c r="BZ51" s="23" t="str">
        <f>IF(SUMPRODUCT($J$62:BY$62,$J51:BY51)&lt;0.5, "Pending", IF(BY51&lt;0.5, "Complete", "In Progress"))</f>
        <v>Pending</v>
      </c>
      <c r="CA51" s="22">
        <v>0</v>
      </c>
      <c r="CB51" s="22">
        <f t="shared" si="34"/>
        <v>20</v>
      </c>
      <c r="CC51" s="23" t="str">
        <f>IF(SUMPRODUCT($J$62:CB$62,$J51:CB51)&lt;0.5, "Pending", IF(CB51&lt;0.5, "Complete", "In Progress"))</f>
        <v>Pending</v>
      </c>
      <c r="CD51" s="22">
        <v>0</v>
      </c>
      <c r="CE51" s="22">
        <f t="shared" si="35"/>
        <v>20</v>
      </c>
      <c r="CF51" s="23" t="str">
        <f>IF(SUMPRODUCT($J$62:CE$62,$J51:CE51)&lt;0.5, "Pending", IF(CE51&lt;0.5, "Complete", "In Progress"))</f>
        <v>Pending</v>
      </c>
      <c r="CG51" s="22">
        <v>0</v>
      </c>
      <c r="CH51" s="22">
        <f t="shared" si="36"/>
        <v>20</v>
      </c>
      <c r="CI51" s="23" t="str">
        <f>IF(SUMPRODUCT($J$62:CH$62,$J51:CH51)&lt;0.5, "Pending", IF(CH51&lt;0.5, "Complete", "In Progress"))</f>
        <v>Pending</v>
      </c>
      <c r="CJ51" s="22">
        <v>0</v>
      </c>
      <c r="CK51" s="22">
        <f t="shared" si="37"/>
        <v>20</v>
      </c>
      <c r="CL51" s="23" t="str">
        <f>IF(SUMPRODUCT($J$62:CK$62,$J51:CK51)&lt;0.5, "Pending", IF(CK51&lt;0.5, "Complete", "In Progress"))</f>
        <v>Pending</v>
      </c>
      <c r="CM51" s="22">
        <v>0</v>
      </c>
      <c r="CN51" s="22">
        <f t="shared" si="38"/>
        <v>20</v>
      </c>
      <c r="CO51" s="23" t="str">
        <f>IF(SUMPRODUCT($J$62:CN$62,$J51:CN51)&lt;0.5, "Pending", IF(CN51&lt;0.5, "Complete", "In Progress"))</f>
        <v>Pending</v>
      </c>
      <c r="CP51" s="22">
        <v>0</v>
      </c>
      <c r="CQ51" s="22">
        <f t="shared" si="39"/>
        <v>20</v>
      </c>
      <c r="CR51" s="23" t="str">
        <f>IF(SUMPRODUCT($J$62:CQ$62,$J51:CQ51)&lt;0.5, "Pending", IF(CQ51&lt;0.5, "Complete", "In Progress"))</f>
        <v>Pending</v>
      </c>
      <c r="CS51" s="22">
        <v>0</v>
      </c>
      <c r="CT51" s="22">
        <f t="shared" si="40"/>
        <v>20</v>
      </c>
      <c r="CU51" s="23" t="str">
        <f>IF(SUMPRODUCT($J$62:CT$62,$J51:CT51)&lt;0.5, "Pending", IF(CT51&lt;0.5, "Complete", "In Progress"))</f>
        <v>Pending</v>
      </c>
      <c r="CV51" s="22">
        <v>0</v>
      </c>
      <c r="CW51" s="22">
        <f t="shared" si="41"/>
        <v>20</v>
      </c>
      <c r="CX51" s="23" t="str">
        <f>IF(SUMPRODUCT($J$62:CW$62,$J51:CW51)&lt;0.5, "Pending", IF(CW51&lt;0.5, "Complete", "In Progress"))</f>
        <v>Pending</v>
      </c>
      <c r="CY51" s="22">
        <v>0</v>
      </c>
      <c r="CZ51" s="22">
        <f t="shared" si="42"/>
        <v>20</v>
      </c>
      <c r="DA51" s="23" t="str">
        <f>IF(SUMPRODUCT($J$62:CZ$62,$J51:CZ51)&lt;0.5, "Pending", IF(CZ51&lt;0.5, "Complete", "In Progress"))</f>
        <v>Pending</v>
      </c>
      <c r="DB51" s="22">
        <v>0</v>
      </c>
      <c r="DC51" s="22">
        <f t="shared" si="43"/>
        <v>20</v>
      </c>
      <c r="DD51" s="23" t="str">
        <f>IF(SUMPRODUCT($J$62:DC$62,$J51:DC51)&lt;0.5, "Pending", IF(DC51&lt;0.5, "Complete", "In Progress"))</f>
        <v>Pending</v>
      </c>
      <c r="DE51" s="22">
        <v>0</v>
      </c>
      <c r="DF51" s="22">
        <f t="shared" si="44"/>
        <v>20</v>
      </c>
      <c r="DG51" s="23" t="str">
        <f>IF(SUMPRODUCT($J$62:DF$62,$J51:DF51)&lt;0.5, "Pending", IF(DF51&lt;0.5, "Complete", "In Progress"))</f>
        <v>Pending</v>
      </c>
      <c r="DH51" s="22">
        <v>0</v>
      </c>
      <c r="DI51" s="22">
        <f t="shared" si="45"/>
        <v>20</v>
      </c>
      <c r="DJ51" s="23" t="str">
        <f>IF(SUMPRODUCT($J$62:DI$62,$J51:DI51)&lt;0.5, "Pending", IF(DI51&lt;0.5, "Complete", "In Progress"))</f>
        <v>Pending</v>
      </c>
      <c r="DK51" s="22">
        <v>0</v>
      </c>
      <c r="DL51" s="22">
        <f t="shared" si="46"/>
        <v>20</v>
      </c>
      <c r="DM51" s="23" t="str">
        <f>IF(SUMPRODUCT($J$62:DL$62,$J51:DL51)&lt;0.5, "Pending", IF(DL51&lt;0.5, "Complete", "In Progress"))</f>
        <v>Pending</v>
      </c>
      <c r="DN51" s="22">
        <v>0</v>
      </c>
      <c r="DO51" s="22">
        <f t="shared" si="47"/>
        <v>20</v>
      </c>
      <c r="DP51" s="23" t="str">
        <f>IF(SUMPRODUCT($J$62:DO$62,$J51:DO51)&lt;0.5, "Pending", IF(DO51&lt;0.5, "Complete", "In Progress"))</f>
        <v>Pending</v>
      </c>
      <c r="DQ51" s="22">
        <v>0</v>
      </c>
      <c r="DR51" s="22">
        <f t="shared" si="48"/>
        <v>20</v>
      </c>
      <c r="DS51" s="23" t="str">
        <f>IF(SUMPRODUCT($J$62:DR$62,$J51:DR51)&lt;0.5, "Pending", IF(DR51&lt;0.5, "Complete", "In Progress"))</f>
        <v>Pending</v>
      </c>
      <c r="DT51" s="22">
        <v>0</v>
      </c>
      <c r="DU51" s="22">
        <f t="shared" si="49"/>
        <v>20</v>
      </c>
      <c r="DV51" s="23" t="str">
        <f>IF(SUMPRODUCT($J$62:DU$62,$J51:DU51)&lt;0.5, "Pending", IF(DU51&lt;0.5, "Complete", "In Progress"))</f>
        <v>Pending</v>
      </c>
      <c r="DW51" s="22">
        <v>0</v>
      </c>
      <c r="DX51" s="22">
        <f t="shared" si="50"/>
        <v>20</v>
      </c>
      <c r="DY51" s="23" t="str">
        <f>IF(SUMPRODUCT($J$62:DX$62,$J51:DX51)&lt;0.5, "Pending", IF(DX51&lt;0.5, "Complete", "In Progress"))</f>
        <v>Pending</v>
      </c>
      <c r="DZ51" s="24"/>
      <c r="EA51" s="25">
        <f>SUMPRODUCT($H$62:DG$62,$H51:DG51)</f>
        <v>0</v>
      </c>
    </row>
    <row r="52" spans="1:131" x14ac:dyDescent="0.25">
      <c r="A52" s="16" t="s">
        <v>119</v>
      </c>
      <c r="B52" s="16" t="s">
        <v>152</v>
      </c>
      <c r="C52" s="16" t="s">
        <v>121</v>
      </c>
      <c r="D52" s="17">
        <v>15</v>
      </c>
      <c r="E52" s="199" t="s">
        <v>160</v>
      </c>
      <c r="F52" s="18" t="s">
        <v>123</v>
      </c>
      <c r="G52" s="19" t="str">
        <f t="shared" ca="1" si="0"/>
        <v>Pending</v>
      </c>
      <c r="H52" s="20">
        <v>1</v>
      </c>
      <c r="I52" s="21">
        <v>5</v>
      </c>
      <c r="J52" s="22">
        <v>0</v>
      </c>
      <c r="K52" s="22">
        <f t="shared" ref="K52" si="371">MAX(I52-J52, 0)</f>
        <v>5</v>
      </c>
      <c r="L52" s="23" t="str">
        <f>IF(SUMPRODUCT($J$62:K$62,$J52:K52)&lt;0.5, "Pending", IF(K52&lt;0.5, "Complete", "In Progress"))</f>
        <v>Pending</v>
      </c>
      <c r="M52" s="22">
        <v>0</v>
      </c>
      <c r="N52" s="22">
        <f t="shared" ref="N52" si="372">MAX(K52-M52,0)</f>
        <v>5</v>
      </c>
      <c r="O52" s="23" t="str">
        <f>IF(SUMPRODUCT($J$62:N$62,$J52:N52)&lt;0.5, "Pending", IF(N52&lt;0.5, "Complete", "In Progress"))</f>
        <v>Pending</v>
      </c>
      <c r="P52" s="22">
        <v>0</v>
      </c>
      <c r="Q52" s="22">
        <f t="shared" ref="Q52" si="373">MAX(N52-P52,0)</f>
        <v>5</v>
      </c>
      <c r="R52" s="23" t="str">
        <f>IF(SUMPRODUCT($J$62:Q$62,$J52:Q52)&lt;0.5, "Pending", IF(Q52&lt;0.5, "Complete", "In Progress"))</f>
        <v>Pending</v>
      </c>
      <c r="S52" s="22">
        <v>0</v>
      </c>
      <c r="T52" s="22">
        <f t="shared" ref="T52" si="374">MAX(Q52-S52,0)</f>
        <v>5</v>
      </c>
      <c r="U52" s="23" t="str">
        <f>IF(SUMPRODUCT($J$62:T$62,$J52:T52)&lt;0.5, "Pending", IF(T52&lt;0.5, "Complete", "In Progress"))</f>
        <v>Pending</v>
      </c>
      <c r="V52" s="22">
        <v>0</v>
      </c>
      <c r="W52" s="22">
        <f t="shared" ref="W52" si="375">MAX(T52-V52,0)</f>
        <v>5</v>
      </c>
      <c r="X52" s="23" t="str">
        <f>IF(SUMPRODUCT($J$62:W$62,$J52:W52)&lt;0.5, "Pending", IF(W52&lt;0.5, "Complete", "In Progress"))</f>
        <v>Pending</v>
      </c>
      <c r="Y52" s="22">
        <v>0</v>
      </c>
      <c r="Z52" s="22">
        <f t="shared" ref="Z52" si="376">MAX(W52-Y52,0)</f>
        <v>5</v>
      </c>
      <c r="AA52" s="23" t="str">
        <f>IF(SUMPRODUCT($J$62:Z$62,$J52:Z52)&lt;0.5, "Pending", IF(Z52&lt;0.5, "Complete", "In Progress"))</f>
        <v>Pending</v>
      </c>
      <c r="AB52" s="22">
        <v>0</v>
      </c>
      <c r="AC52" s="22">
        <f t="shared" ref="AC52" si="377">MAX(Z52-AB52,0)</f>
        <v>5</v>
      </c>
      <c r="AD52" s="23" t="str">
        <f>IF(SUMPRODUCT($J$62:AC$62,$J52:AC52)&lt;0.5, "Pending", IF(AC52&lt;0.5, "Complete", "In Progress"))</f>
        <v>Pending</v>
      </c>
      <c r="AE52" s="22">
        <v>0</v>
      </c>
      <c r="AF52" s="22">
        <f t="shared" ref="AF52" si="378">MAX(AC52-AE52,0)</f>
        <v>5</v>
      </c>
      <c r="AG52" s="23" t="str">
        <f>IF(SUMPRODUCT($J$62:AF$62,$J52:AF52)&lt;0.5, "Pending", IF(AF52&lt;0.5, "Complete", "In Progress"))</f>
        <v>Pending</v>
      </c>
      <c r="AH52" s="22">
        <v>0</v>
      </c>
      <c r="AI52" s="22">
        <f t="shared" ref="AI52" si="379">MAX(AF52-AH52,0)</f>
        <v>5</v>
      </c>
      <c r="AJ52" s="23" t="str">
        <f>IF(SUMPRODUCT($J$62:AI$62,$J52:AI52)&lt;0.5, "Pending", IF(AI52&lt;0.5, "Complete", "In Progress"))</f>
        <v>Pending</v>
      </c>
      <c r="AK52" s="22">
        <v>0</v>
      </c>
      <c r="AL52" s="22">
        <f t="shared" ref="AL52" si="380">MAX(AI52-AK52,0)</f>
        <v>5</v>
      </c>
      <c r="AM52" s="23" t="str">
        <f>IF(SUMPRODUCT($J$62:AL$62,$J52:AL52)&lt;0.5, "Pending", IF(AL52&lt;0.5, "Complete", "In Progress"))</f>
        <v>Pending</v>
      </c>
      <c r="AN52" s="22">
        <v>0</v>
      </c>
      <c r="AO52" s="22">
        <f t="shared" ref="AO52" si="381">MAX(AL52-AN52,0)</f>
        <v>5</v>
      </c>
      <c r="AP52" s="23" t="str">
        <f>IF(SUMPRODUCT($J$62:AO$62,$J52:AO52)&lt;0.5, "Pending", IF(AO52&lt;0.5, "Complete", "In Progress"))</f>
        <v>Pending</v>
      </c>
      <c r="AQ52" s="22">
        <v>0</v>
      </c>
      <c r="AR52" s="22">
        <f t="shared" ref="AR52" si="382">MAX(AO52-AQ52,0)</f>
        <v>5</v>
      </c>
      <c r="AS52" s="23" t="str">
        <f>IF(SUMPRODUCT($J$62:AR$62,$J52:AR52)&lt;0.5, "Pending", IF(AR52&lt;0.5, "Complete", "In Progress"))</f>
        <v>Pending</v>
      </c>
      <c r="AT52" s="22">
        <v>0</v>
      </c>
      <c r="AU52" s="22">
        <f t="shared" ref="AU52" si="383">MAX(AR52-AT52,0)</f>
        <v>5</v>
      </c>
      <c r="AV52" s="23" t="str">
        <f>IF(SUMPRODUCT($J$62:AU$62,$J52:AU52)&lt;0.5, "Pending", IF(AU52&lt;0.5, "Complete", "In Progress"))</f>
        <v>Pending</v>
      </c>
      <c r="AW52" s="22">
        <v>0</v>
      </c>
      <c r="AX52" s="22">
        <f t="shared" ref="AX52" si="384">MAX(AU52-AW52,0)</f>
        <v>5</v>
      </c>
      <c r="AY52" s="23" t="str">
        <f>IF(SUMPRODUCT($J$62:AX$62,$J52:AX52)&lt;0.5, "Pending", IF(AX52&lt;0.5, "Complete", "In Progress"))</f>
        <v>Pending</v>
      </c>
      <c r="AZ52" s="22">
        <v>0</v>
      </c>
      <c r="BA52" s="22">
        <f t="shared" ref="BA52" si="385">MAX(AX52-AZ52,0)</f>
        <v>5</v>
      </c>
      <c r="BB52" s="23" t="str">
        <f>IF(SUMPRODUCT($J$62:BA$62,$J52:BA52)&lt;0.5, "Pending", IF(BA52&lt;0.5, "Complete", "In Progress"))</f>
        <v>Pending</v>
      </c>
      <c r="BC52" s="22">
        <v>0</v>
      </c>
      <c r="BD52" s="22">
        <f t="shared" ref="BD52" si="386">MAX(BA52-BC52,0)</f>
        <v>5</v>
      </c>
      <c r="BE52" s="23" t="str">
        <f>IF(SUMPRODUCT($J$62:BD$62,$J52:BD52)&lt;0.5, "Pending", IF(BD52&lt;0.5, "Complete", "In Progress"))</f>
        <v>Pending</v>
      </c>
      <c r="BF52" s="22">
        <v>0</v>
      </c>
      <c r="BG52" s="22">
        <f t="shared" ref="BG52" si="387">MAX(BD52-BF52,0)</f>
        <v>5</v>
      </c>
      <c r="BH52" s="23" t="str">
        <f>IF(SUMPRODUCT($J$62:BG$62,$J52:BG52)&lt;0.5, "Pending", IF(BG52&lt;0.5, "Complete", "In Progress"))</f>
        <v>Pending</v>
      </c>
      <c r="BI52" s="22">
        <v>0</v>
      </c>
      <c r="BJ52" s="22">
        <f t="shared" ref="BJ52" si="388">MAX(BG52-BI52,0)</f>
        <v>5</v>
      </c>
      <c r="BK52" s="23" t="str">
        <f>IF(SUMPRODUCT($J$62:BJ$62,$J52:BJ52)&lt;0.5, "Pending", IF(BJ52&lt;0.5, "Complete", "In Progress"))</f>
        <v>Pending</v>
      </c>
      <c r="BL52" s="22">
        <v>0</v>
      </c>
      <c r="BM52" s="22">
        <f t="shared" ref="BM52" si="389">MAX(BJ52-BL52,0)</f>
        <v>5</v>
      </c>
      <c r="BN52" s="23" t="str">
        <f>IF(SUMPRODUCT($J$62:BM$62,$J52:BM52)&lt;0.5, "Pending", IF(BM52&lt;0.5, "Complete", "In Progress"))</f>
        <v>Pending</v>
      </c>
      <c r="BO52" s="22">
        <v>0</v>
      </c>
      <c r="BP52" s="22">
        <f t="shared" ref="BP52" si="390">MAX(BM52-BO52,0)</f>
        <v>5</v>
      </c>
      <c r="BQ52" s="23" t="str">
        <f>IF(SUMPRODUCT($J$62:BP$62,$J52:BP52)&lt;0.5, "Pending", IF(BP52&lt;0.5, "Complete", "In Progress"))</f>
        <v>Pending</v>
      </c>
      <c r="BR52" s="22">
        <v>0</v>
      </c>
      <c r="BS52" s="22">
        <f t="shared" ref="BS52" si="391">MAX(BP52-BR52,0)</f>
        <v>5</v>
      </c>
      <c r="BT52" s="23" t="str">
        <f>IF(SUMPRODUCT($J$62:BS$62,$J52:BS52)&lt;0.5, "Pending", IF(BS52&lt;0.5, "Complete", "In Progress"))</f>
        <v>Pending</v>
      </c>
      <c r="BU52" s="22">
        <v>0</v>
      </c>
      <c r="BV52" s="22">
        <f t="shared" ref="BV52" si="392">MAX(BS52-BU52,0)</f>
        <v>5</v>
      </c>
      <c r="BW52" s="23" t="str">
        <f>IF(SUMPRODUCT($J$62:BV$62,$J52:BV52)&lt;0.5, "Pending", IF(BV52&lt;0.5, "Complete", "In Progress"))</f>
        <v>Pending</v>
      </c>
      <c r="BX52" s="22">
        <v>0</v>
      </c>
      <c r="BY52" s="22">
        <f t="shared" ref="BY52" si="393">MAX(BV52-BX52,0)</f>
        <v>5</v>
      </c>
      <c r="BZ52" s="23" t="str">
        <f>IF(SUMPRODUCT($J$62:BY$62,$J52:BY52)&lt;0.5, "Pending", IF(BY52&lt;0.5, "Complete", "In Progress"))</f>
        <v>Pending</v>
      </c>
      <c r="CA52" s="22">
        <v>0</v>
      </c>
      <c r="CB52" s="22">
        <f t="shared" ref="CB52" si="394">MAX(BY52-CA52,0)</f>
        <v>5</v>
      </c>
      <c r="CC52" s="23" t="str">
        <f>IF(SUMPRODUCT($J$62:CB$62,$J52:CB52)&lt;0.5, "Pending", IF(CB52&lt;0.5, "Complete", "In Progress"))</f>
        <v>Pending</v>
      </c>
      <c r="CD52" s="22">
        <v>0</v>
      </c>
      <c r="CE52" s="22">
        <f t="shared" ref="CE52" si="395">MAX(CB52-CD52,0)</f>
        <v>5</v>
      </c>
      <c r="CF52" s="23" t="str">
        <f>IF(SUMPRODUCT($J$62:CE$62,$J52:CE52)&lt;0.5, "Pending", IF(CE52&lt;0.5, "Complete", "In Progress"))</f>
        <v>Pending</v>
      </c>
      <c r="CG52" s="22">
        <v>0</v>
      </c>
      <c r="CH52" s="22">
        <f t="shared" ref="CH52" si="396">MAX(CE52-CG52,0)</f>
        <v>5</v>
      </c>
      <c r="CI52" s="23" t="str">
        <f>IF(SUMPRODUCT($J$62:CH$62,$J52:CH52)&lt;0.5, "Pending", IF(CH52&lt;0.5, "Complete", "In Progress"))</f>
        <v>Pending</v>
      </c>
      <c r="CJ52" s="22">
        <v>0</v>
      </c>
      <c r="CK52" s="22">
        <f t="shared" ref="CK52" si="397">MAX(CH52-CJ52,0)</f>
        <v>5</v>
      </c>
      <c r="CL52" s="23" t="str">
        <f>IF(SUMPRODUCT($J$62:CK$62,$J52:CK52)&lt;0.5, "Pending", IF(CK52&lt;0.5, "Complete", "In Progress"))</f>
        <v>Pending</v>
      </c>
      <c r="CM52" s="22">
        <v>0</v>
      </c>
      <c r="CN52" s="22">
        <f t="shared" ref="CN52" si="398">MAX(CK52-CM52,0)</f>
        <v>5</v>
      </c>
      <c r="CO52" s="23" t="str">
        <f>IF(SUMPRODUCT($J$62:CN$62,$J52:CN52)&lt;0.5, "Pending", IF(CN52&lt;0.5, "Complete", "In Progress"))</f>
        <v>Pending</v>
      </c>
      <c r="CP52" s="22">
        <v>0</v>
      </c>
      <c r="CQ52" s="22">
        <f t="shared" ref="CQ52" si="399">MAX(CN52-CP52,0)</f>
        <v>5</v>
      </c>
      <c r="CR52" s="23" t="str">
        <f>IF(SUMPRODUCT($J$62:CQ$62,$J52:CQ52)&lt;0.5, "Pending", IF(CQ52&lt;0.5, "Complete", "In Progress"))</f>
        <v>Pending</v>
      </c>
      <c r="CS52" s="22">
        <v>0</v>
      </c>
      <c r="CT52" s="22">
        <f t="shared" ref="CT52" si="400">MAX(CQ52-CS52,0)</f>
        <v>5</v>
      </c>
      <c r="CU52" s="23" t="str">
        <f>IF(SUMPRODUCT($J$62:CT$62,$J52:CT52)&lt;0.5, "Pending", IF(CT52&lt;0.5, "Complete", "In Progress"))</f>
        <v>Pending</v>
      </c>
      <c r="CV52" s="22">
        <v>0</v>
      </c>
      <c r="CW52" s="22">
        <f t="shared" ref="CW52" si="401">MAX(CT52-CV52,0)</f>
        <v>5</v>
      </c>
      <c r="CX52" s="23" t="str">
        <f>IF(SUMPRODUCT($J$62:CW$62,$J52:CW52)&lt;0.5, "Pending", IF(CW52&lt;0.5, "Complete", "In Progress"))</f>
        <v>Pending</v>
      </c>
      <c r="CY52" s="22">
        <v>0</v>
      </c>
      <c r="CZ52" s="22">
        <f t="shared" ref="CZ52" si="402">MAX(CW52-CY52,0)</f>
        <v>5</v>
      </c>
      <c r="DA52" s="23" t="str">
        <f>IF(SUMPRODUCT($J$62:CZ$62,$J52:CZ52)&lt;0.5, "Pending", IF(CZ52&lt;0.5, "Complete", "In Progress"))</f>
        <v>Pending</v>
      </c>
      <c r="DB52" s="22">
        <v>0</v>
      </c>
      <c r="DC52" s="22">
        <f t="shared" ref="DC52" si="403">MAX(CZ52-DB52,0)</f>
        <v>5</v>
      </c>
      <c r="DD52" s="23" t="str">
        <f>IF(SUMPRODUCT($J$62:DC$62,$J52:DC52)&lt;0.5, "Pending", IF(DC52&lt;0.5, "Complete", "In Progress"))</f>
        <v>Pending</v>
      </c>
      <c r="DE52" s="22">
        <v>0</v>
      </c>
      <c r="DF52" s="22">
        <f t="shared" ref="DF52" si="404">MAX(DC52-DE52,0)</f>
        <v>5</v>
      </c>
      <c r="DG52" s="23" t="str">
        <f>IF(SUMPRODUCT($J$62:DF$62,$J52:DF52)&lt;0.5, "Pending", IF(DF52&lt;0.5, "Complete", "In Progress"))</f>
        <v>Pending</v>
      </c>
      <c r="DH52" s="22">
        <v>0</v>
      </c>
      <c r="DI52" s="22">
        <f t="shared" ref="DI52" si="405">MAX(DF52-DH52,0)</f>
        <v>5</v>
      </c>
      <c r="DJ52" s="23" t="str">
        <f>IF(SUMPRODUCT($J$62:DI$62,$J52:DI52)&lt;0.5, "Pending", IF(DI52&lt;0.5, "Complete", "In Progress"))</f>
        <v>Pending</v>
      </c>
      <c r="DK52" s="22">
        <v>0</v>
      </c>
      <c r="DL52" s="22">
        <f t="shared" ref="DL52" si="406">MAX(DI52-DK52,0)</f>
        <v>5</v>
      </c>
      <c r="DM52" s="23" t="str">
        <f>IF(SUMPRODUCT($J$62:DL$62,$J52:DL52)&lt;0.5, "Pending", IF(DL52&lt;0.5, "Complete", "In Progress"))</f>
        <v>Pending</v>
      </c>
      <c r="DN52" s="22">
        <v>0</v>
      </c>
      <c r="DO52" s="22">
        <f t="shared" ref="DO52" si="407">MAX(DL52-DN52,0)</f>
        <v>5</v>
      </c>
      <c r="DP52" s="23" t="str">
        <f>IF(SUMPRODUCT($J$62:DO$62,$J52:DO52)&lt;0.5, "Pending", IF(DO52&lt;0.5, "Complete", "In Progress"))</f>
        <v>Pending</v>
      </c>
      <c r="DQ52" s="22">
        <v>0</v>
      </c>
      <c r="DR52" s="22">
        <f t="shared" ref="DR52" si="408">MAX(DO52-DQ52,0)</f>
        <v>5</v>
      </c>
      <c r="DS52" s="23" t="str">
        <f>IF(SUMPRODUCT($J$62:DR$62,$J52:DR52)&lt;0.5, "Pending", IF(DR52&lt;0.5, "Complete", "In Progress"))</f>
        <v>Pending</v>
      </c>
      <c r="DT52" s="22">
        <v>0</v>
      </c>
      <c r="DU52" s="22">
        <f t="shared" ref="DU52" si="409">MAX(DR52-DT52,0)</f>
        <v>5</v>
      </c>
      <c r="DV52" s="23" t="str">
        <f>IF(SUMPRODUCT($J$62:DU$62,$J52:DU52)&lt;0.5, "Pending", IF(DU52&lt;0.5, "Complete", "In Progress"))</f>
        <v>Pending</v>
      </c>
      <c r="DW52" s="22">
        <v>0</v>
      </c>
      <c r="DX52" s="22">
        <f t="shared" ref="DX52" si="410">MAX(DU52-DW52,0)</f>
        <v>5</v>
      </c>
      <c r="DY52" s="23" t="str">
        <f>IF(SUMPRODUCT($J$62:DX$62,$J52:DX52)&lt;0.5, "Pending", IF(DX52&lt;0.5, "Complete", "In Progress"))</f>
        <v>Pending</v>
      </c>
      <c r="DZ52" s="24"/>
      <c r="EA52" s="25">
        <f>SUMPRODUCT($H$62:DG$62,$H52:DG52)</f>
        <v>0</v>
      </c>
    </row>
    <row r="53" spans="1:131" x14ac:dyDescent="0.25">
      <c r="A53" s="16" t="s">
        <v>119</v>
      </c>
      <c r="B53" s="16" t="s">
        <v>152</v>
      </c>
      <c r="C53" s="16" t="s">
        <v>121</v>
      </c>
      <c r="D53" s="17">
        <v>16</v>
      </c>
      <c r="E53" s="199" t="s">
        <v>161</v>
      </c>
      <c r="F53" s="18" t="s">
        <v>134</v>
      </c>
      <c r="G53" s="19" t="str">
        <f t="shared" ca="1" si="0"/>
        <v>Pending</v>
      </c>
      <c r="H53" s="20">
        <v>1</v>
      </c>
      <c r="I53" s="21">
        <v>6</v>
      </c>
      <c r="J53" s="22">
        <v>0</v>
      </c>
      <c r="K53" s="22">
        <f t="shared" si="11"/>
        <v>6</v>
      </c>
      <c r="L53" s="23" t="str">
        <f>IF(SUMPRODUCT($J$62:K$62,$J53:K53)&lt;0.5, "Pending", IF(K53&lt;0.5, "Complete", "In Progress"))</f>
        <v>Pending</v>
      </c>
      <c r="M53" s="22">
        <v>0</v>
      </c>
      <c r="N53" s="22">
        <f t="shared" si="12"/>
        <v>6</v>
      </c>
      <c r="O53" s="23" t="str">
        <f>IF(SUMPRODUCT($J$62:N$62,$J53:N53)&lt;0.5, "Pending", IF(N53&lt;0.5, "Complete", "In Progress"))</f>
        <v>Pending</v>
      </c>
      <c r="P53" s="22">
        <v>0</v>
      </c>
      <c r="Q53" s="22">
        <f t="shared" si="13"/>
        <v>6</v>
      </c>
      <c r="R53" s="23" t="str">
        <f>IF(SUMPRODUCT($J$62:Q$62,$J53:Q53)&lt;0.5, "Pending", IF(Q53&lt;0.5, "Complete", "In Progress"))</f>
        <v>Pending</v>
      </c>
      <c r="S53" s="22">
        <v>0</v>
      </c>
      <c r="T53" s="22">
        <f t="shared" si="14"/>
        <v>6</v>
      </c>
      <c r="U53" s="23" t="str">
        <f>IF(SUMPRODUCT($J$62:T$62,$J53:T53)&lt;0.5, "Pending", IF(T53&lt;0.5, "Complete", "In Progress"))</f>
        <v>Pending</v>
      </c>
      <c r="V53" s="22">
        <v>0</v>
      </c>
      <c r="W53" s="22">
        <f t="shared" si="15"/>
        <v>6</v>
      </c>
      <c r="X53" s="23" t="str">
        <f>IF(SUMPRODUCT($J$62:W$62,$J53:W53)&lt;0.5, "Pending", IF(W53&lt;0.5, "Complete", "In Progress"))</f>
        <v>Pending</v>
      </c>
      <c r="Y53" s="22">
        <v>0</v>
      </c>
      <c r="Z53" s="22">
        <f t="shared" si="16"/>
        <v>6</v>
      </c>
      <c r="AA53" s="23" t="str">
        <f>IF(SUMPRODUCT($J$62:Z$62,$J53:Z53)&lt;0.5, "Pending", IF(Z53&lt;0.5, "Complete", "In Progress"))</f>
        <v>Pending</v>
      </c>
      <c r="AB53" s="22">
        <v>0</v>
      </c>
      <c r="AC53" s="22">
        <f t="shared" si="17"/>
        <v>6</v>
      </c>
      <c r="AD53" s="23" t="str">
        <f>IF(SUMPRODUCT($J$62:AC$62,$J53:AC53)&lt;0.5, "Pending", IF(AC53&lt;0.5, "Complete", "In Progress"))</f>
        <v>Pending</v>
      </c>
      <c r="AE53" s="22">
        <v>0</v>
      </c>
      <c r="AF53" s="22">
        <f t="shared" si="18"/>
        <v>6</v>
      </c>
      <c r="AG53" s="23" t="str">
        <f>IF(SUMPRODUCT($J$62:AF$62,$J53:AF53)&lt;0.5, "Pending", IF(AF53&lt;0.5, "Complete", "In Progress"))</f>
        <v>Pending</v>
      </c>
      <c r="AH53" s="22">
        <v>0</v>
      </c>
      <c r="AI53" s="22">
        <f t="shared" si="19"/>
        <v>6</v>
      </c>
      <c r="AJ53" s="23" t="str">
        <f>IF(SUMPRODUCT($J$62:AI$62,$J53:AI53)&lt;0.5, "Pending", IF(AI53&lt;0.5, "Complete", "In Progress"))</f>
        <v>Pending</v>
      </c>
      <c r="AK53" s="22">
        <v>0</v>
      </c>
      <c r="AL53" s="22">
        <f t="shared" si="20"/>
        <v>6</v>
      </c>
      <c r="AM53" s="23" t="str">
        <f>IF(SUMPRODUCT($J$62:AL$62,$J53:AL53)&lt;0.5, "Pending", IF(AL53&lt;0.5, "Complete", "In Progress"))</f>
        <v>Pending</v>
      </c>
      <c r="AN53" s="22">
        <v>0</v>
      </c>
      <c r="AO53" s="22">
        <f t="shared" si="21"/>
        <v>6</v>
      </c>
      <c r="AP53" s="23" t="str">
        <f>IF(SUMPRODUCT($J$62:AO$62,$J53:AO53)&lt;0.5, "Pending", IF(AO53&lt;0.5, "Complete", "In Progress"))</f>
        <v>Pending</v>
      </c>
      <c r="AQ53" s="22">
        <v>0</v>
      </c>
      <c r="AR53" s="22">
        <f t="shared" si="22"/>
        <v>6</v>
      </c>
      <c r="AS53" s="23" t="str">
        <f>IF(SUMPRODUCT($J$62:AR$62,$J53:AR53)&lt;0.5, "Pending", IF(AR53&lt;0.5, "Complete", "In Progress"))</f>
        <v>Pending</v>
      </c>
      <c r="AT53" s="22">
        <v>0</v>
      </c>
      <c r="AU53" s="22">
        <f t="shared" si="23"/>
        <v>6</v>
      </c>
      <c r="AV53" s="23" t="str">
        <f>IF(SUMPRODUCT($J$62:AU$62,$J53:AU53)&lt;0.5, "Pending", IF(AU53&lt;0.5, "Complete", "In Progress"))</f>
        <v>Pending</v>
      </c>
      <c r="AW53" s="22">
        <v>0</v>
      </c>
      <c r="AX53" s="22">
        <f t="shared" si="24"/>
        <v>6</v>
      </c>
      <c r="AY53" s="23" t="str">
        <f>IF(SUMPRODUCT($J$62:AX$62,$J53:AX53)&lt;0.5, "Pending", IF(AX53&lt;0.5, "Complete", "In Progress"))</f>
        <v>Pending</v>
      </c>
      <c r="AZ53" s="22">
        <v>0</v>
      </c>
      <c r="BA53" s="22">
        <f t="shared" si="25"/>
        <v>6</v>
      </c>
      <c r="BB53" s="23" t="str">
        <f>IF(SUMPRODUCT($J$62:BA$62,$J53:BA53)&lt;0.5, "Pending", IF(BA53&lt;0.5, "Complete", "In Progress"))</f>
        <v>Pending</v>
      </c>
      <c r="BC53" s="22">
        <v>0</v>
      </c>
      <c r="BD53" s="22">
        <f t="shared" si="26"/>
        <v>6</v>
      </c>
      <c r="BE53" s="23" t="str">
        <f>IF(SUMPRODUCT($J$62:BD$62,$J53:BD53)&lt;0.5, "Pending", IF(BD53&lt;0.5, "Complete", "In Progress"))</f>
        <v>Pending</v>
      </c>
      <c r="BF53" s="22">
        <v>0</v>
      </c>
      <c r="BG53" s="22">
        <f t="shared" si="27"/>
        <v>6</v>
      </c>
      <c r="BH53" s="23" t="str">
        <f>IF(SUMPRODUCT($J$62:BG$62,$J53:BG53)&lt;0.5, "Pending", IF(BG53&lt;0.5, "Complete", "In Progress"))</f>
        <v>Pending</v>
      </c>
      <c r="BI53" s="22">
        <v>0</v>
      </c>
      <c r="BJ53" s="22">
        <f t="shared" si="28"/>
        <v>6</v>
      </c>
      <c r="BK53" s="23" t="str">
        <f>IF(SUMPRODUCT($J$62:BJ$62,$J53:BJ53)&lt;0.5, "Pending", IF(BJ53&lt;0.5, "Complete", "In Progress"))</f>
        <v>Pending</v>
      </c>
      <c r="BL53" s="22">
        <v>0</v>
      </c>
      <c r="BM53" s="22">
        <f t="shared" si="29"/>
        <v>6</v>
      </c>
      <c r="BN53" s="23" t="str">
        <f>IF(SUMPRODUCT($J$62:BM$62,$J53:BM53)&lt;0.5, "Pending", IF(BM53&lt;0.5, "Complete", "In Progress"))</f>
        <v>Pending</v>
      </c>
      <c r="BO53" s="22">
        <v>0</v>
      </c>
      <c r="BP53" s="22">
        <f t="shared" si="30"/>
        <v>6</v>
      </c>
      <c r="BQ53" s="23" t="str">
        <f>IF(SUMPRODUCT($J$62:BP$62,$J53:BP53)&lt;0.5, "Pending", IF(BP53&lt;0.5, "Complete", "In Progress"))</f>
        <v>Pending</v>
      </c>
      <c r="BR53" s="22">
        <v>0</v>
      </c>
      <c r="BS53" s="22">
        <f t="shared" si="31"/>
        <v>6</v>
      </c>
      <c r="BT53" s="23" t="str">
        <f>IF(SUMPRODUCT($J$62:BS$62,$J53:BS53)&lt;0.5, "Pending", IF(BS53&lt;0.5, "Complete", "In Progress"))</f>
        <v>Pending</v>
      </c>
      <c r="BU53" s="22">
        <v>0</v>
      </c>
      <c r="BV53" s="22">
        <f t="shared" si="32"/>
        <v>6</v>
      </c>
      <c r="BW53" s="23" t="str">
        <f>IF(SUMPRODUCT($J$62:BV$62,$J53:BV53)&lt;0.5, "Pending", IF(BV53&lt;0.5, "Complete", "In Progress"))</f>
        <v>Pending</v>
      </c>
      <c r="BX53" s="22">
        <v>0</v>
      </c>
      <c r="BY53" s="22">
        <f t="shared" si="33"/>
        <v>6</v>
      </c>
      <c r="BZ53" s="23" t="str">
        <f>IF(SUMPRODUCT($J$62:BY$62,$J53:BY53)&lt;0.5, "Pending", IF(BY53&lt;0.5, "Complete", "In Progress"))</f>
        <v>Pending</v>
      </c>
      <c r="CA53" s="22">
        <v>0</v>
      </c>
      <c r="CB53" s="22">
        <f t="shared" si="34"/>
        <v>6</v>
      </c>
      <c r="CC53" s="23" t="str">
        <f>IF(SUMPRODUCT($J$62:CB$62,$J53:CB53)&lt;0.5, "Pending", IF(CB53&lt;0.5, "Complete", "In Progress"))</f>
        <v>Pending</v>
      </c>
      <c r="CD53" s="22">
        <v>0</v>
      </c>
      <c r="CE53" s="22">
        <f t="shared" si="35"/>
        <v>6</v>
      </c>
      <c r="CF53" s="23" t="str">
        <f>IF(SUMPRODUCT($J$62:CE$62,$J53:CE53)&lt;0.5, "Pending", IF(CE53&lt;0.5, "Complete", "In Progress"))</f>
        <v>Pending</v>
      </c>
      <c r="CG53" s="22">
        <v>0</v>
      </c>
      <c r="CH53" s="22">
        <f t="shared" si="36"/>
        <v>6</v>
      </c>
      <c r="CI53" s="23" t="str">
        <f>IF(SUMPRODUCT($J$62:CH$62,$J53:CH53)&lt;0.5, "Pending", IF(CH53&lt;0.5, "Complete", "In Progress"))</f>
        <v>Pending</v>
      </c>
      <c r="CJ53" s="22">
        <v>0</v>
      </c>
      <c r="CK53" s="22">
        <f t="shared" si="37"/>
        <v>6</v>
      </c>
      <c r="CL53" s="23" t="str">
        <f>IF(SUMPRODUCT($J$62:CK$62,$J53:CK53)&lt;0.5, "Pending", IF(CK53&lt;0.5, "Complete", "In Progress"))</f>
        <v>Pending</v>
      </c>
      <c r="CM53" s="22">
        <v>0</v>
      </c>
      <c r="CN53" s="22">
        <f t="shared" si="38"/>
        <v>6</v>
      </c>
      <c r="CO53" s="23" t="str">
        <f>IF(SUMPRODUCT($J$62:CN$62,$J53:CN53)&lt;0.5, "Pending", IF(CN53&lt;0.5, "Complete", "In Progress"))</f>
        <v>Pending</v>
      </c>
      <c r="CP53" s="22">
        <v>0</v>
      </c>
      <c r="CQ53" s="22">
        <f t="shared" si="39"/>
        <v>6</v>
      </c>
      <c r="CR53" s="23" t="str">
        <f>IF(SUMPRODUCT($J$62:CQ$62,$J53:CQ53)&lt;0.5, "Pending", IF(CQ53&lt;0.5, "Complete", "In Progress"))</f>
        <v>Pending</v>
      </c>
      <c r="CS53" s="22">
        <v>0</v>
      </c>
      <c r="CT53" s="22">
        <f t="shared" si="40"/>
        <v>6</v>
      </c>
      <c r="CU53" s="23" t="str">
        <f>IF(SUMPRODUCT($J$62:CT$62,$J53:CT53)&lt;0.5, "Pending", IF(CT53&lt;0.5, "Complete", "In Progress"))</f>
        <v>Pending</v>
      </c>
      <c r="CV53" s="22">
        <v>0</v>
      </c>
      <c r="CW53" s="22">
        <f t="shared" si="41"/>
        <v>6</v>
      </c>
      <c r="CX53" s="23" t="str">
        <f>IF(SUMPRODUCT($J$62:CW$62,$J53:CW53)&lt;0.5, "Pending", IF(CW53&lt;0.5, "Complete", "In Progress"))</f>
        <v>Pending</v>
      </c>
      <c r="CY53" s="22">
        <v>0</v>
      </c>
      <c r="CZ53" s="22">
        <f t="shared" si="42"/>
        <v>6</v>
      </c>
      <c r="DA53" s="23" t="str">
        <f>IF(SUMPRODUCT($J$62:CZ$62,$J53:CZ53)&lt;0.5, "Pending", IF(CZ53&lt;0.5, "Complete", "In Progress"))</f>
        <v>Pending</v>
      </c>
      <c r="DB53" s="22">
        <v>0</v>
      </c>
      <c r="DC53" s="22">
        <f t="shared" si="43"/>
        <v>6</v>
      </c>
      <c r="DD53" s="23" t="str">
        <f>IF(SUMPRODUCT($J$62:DC$62,$J53:DC53)&lt;0.5, "Pending", IF(DC53&lt;0.5, "Complete", "In Progress"))</f>
        <v>Pending</v>
      </c>
      <c r="DE53" s="22">
        <v>0</v>
      </c>
      <c r="DF53" s="22">
        <f t="shared" si="44"/>
        <v>6</v>
      </c>
      <c r="DG53" s="23" t="str">
        <f>IF(SUMPRODUCT($J$62:DF$62,$J53:DF53)&lt;0.5, "Pending", IF(DF53&lt;0.5, "Complete", "In Progress"))</f>
        <v>Pending</v>
      </c>
      <c r="DH53" s="22">
        <v>0</v>
      </c>
      <c r="DI53" s="22">
        <f t="shared" si="45"/>
        <v>6</v>
      </c>
      <c r="DJ53" s="23" t="str">
        <f>IF(SUMPRODUCT($J$62:DI$62,$J53:DI53)&lt;0.5, "Pending", IF(DI53&lt;0.5, "Complete", "In Progress"))</f>
        <v>Pending</v>
      </c>
      <c r="DK53" s="22">
        <v>0</v>
      </c>
      <c r="DL53" s="22">
        <f t="shared" si="46"/>
        <v>6</v>
      </c>
      <c r="DM53" s="23" t="str">
        <f>IF(SUMPRODUCT($J$62:DL$62,$J53:DL53)&lt;0.5, "Pending", IF(DL53&lt;0.5, "Complete", "In Progress"))</f>
        <v>Pending</v>
      </c>
      <c r="DN53" s="22">
        <v>0</v>
      </c>
      <c r="DO53" s="22">
        <f t="shared" si="47"/>
        <v>6</v>
      </c>
      <c r="DP53" s="23" t="str">
        <f>IF(SUMPRODUCT($J$62:DO$62,$J53:DO53)&lt;0.5, "Pending", IF(DO53&lt;0.5, "Complete", "In Progress"))</f>
        <v>Pending</v>
      </c>
      <c r="DQ53" s="22">
        <v>0</v>
      </c>
      <c r="DR53" s="22">
        <f t="shared" si="48"/>
        <v>6</v>
      </c>
      <c r="DS53" s="23" t="str">
        <f>IF(SUMPRODUCT($J$62:DR$62,$J53:DR53)&lt;0.5, "Pending", IF(DR53&lt;0.5, "Complete", "In Progress"))</f>
        <v>Pending</v>
      </c>
      <c r="DT53" s="22">
        <v>0</v>
      </c>
      <c r="DU53" s="22">
        <f t="shared" si="49"/>
        <v>6</v>
      </c>
      <c r="DV53" s="23" t="str">
        <f>IF(SUMPRODUCT($J$62:DU$62,$J53:DU53)&lt;0.5, "Pending", IF(DU53&lt;0.5, "Complete", "In Progress"))</f>
        <v>Pending</v>
      </c>
      <c r="DW53" s="22">
        <v>0</v>
      </c>
      <c r="DX53" s="22">
        <f t="shared" si="50"/>
        <v>6</v>
      </c>
      <c r="DY53" s="23" t="str">
        <f>IF(SUMPRODUCT($J$62:DX$62,$J53:DX53)&lt;0.5, "Pending", IF(DX53&lt;0.5, "Complete", "In Progress"))</f>
        <v>Pending</v>
      </c>
      <c r="DZ53" s="24"/>
      <c r="EA53" s="25">
        <f>SUMPRODUCT($H$62:DG$62,$H53:DG53)</f>
        <v>0</v>
      </c>
    </row>
    <row r="54" spans="1:131" x14ac:dyDescent="0.25">
      <c r="A54" s="16" t="s">
        <v>119</v>
      </c>
      <c r="B54" s="16" t="s">
        <v>152</v>
      </c>
      <c r="C54" s="16" t="s">
        <v>121</v>
      </c>
      <c r="D54" s="17">
        <v>17</v>
      </c>
      <c r="E54" s="199" t="s">
        <v>162</v>
      </c>
      <c r="F54" s="18" t="s">
        <v>129</v>
      </c>
      <c r="G54" s="19" t="str">
        <f t="shared" ca="1" si="0"/>
        <v>Pending</v>
      </c>
      <c r="H54" s="20">
        <v>1</v>
      </c>
      <c r="I54" s="21">
        <v>18</v>
      </c>
      <c r="J54" s="22">
        <v>0</v>
      </c>
      <c r="K54" s="22">
        <f t="shared" si="11"/>
        <v>18</v>
      </c>
      <c r="L54" s="23" t="str">
        <f>IF(SUMPRODUCT($J$62:K$62,$J54:K54)&lt;0.5, "Pending", IF(K54&lt;0.5, "Complete", "In Progress"))</f>
        <v>Pending</v>
      </c>
      <c r="M54" s="22">
        <v>0</v>
      </c>
      <c r="N54" s="22">
        <f t="shared" si="12"/>
        <v>18</v>
      </c>
      <c r="O54" s="23" t="str">
        <f>IF(SUMPRODUCT($J$62:N$62,$J54:N54)&lt;0.5, "Pending", IF(N54&lt;0.5, "Complete", "In Progress"))</f>
        <v>Pending</v>
      </c>
      <c r="P54" s="22">
        <v>0</v>
      </c>
      <c r="Q54" s="22">
        <f t="shared" si="13"/>
        <v>18</v>
      </c>
      <c r="R54" s="23" t="str">
        <f>IF(SUMPRODUCT($J$62:Q$62,$J54:Q54)&lt;0.5, "Pending", IF(Q54&lt;0.5, "Complete", "In Progress"))</f>
        <v>Pending</v>
      </c>
      <c r="S54" s="22">
        <v>0</v>
      </c>
      <c r="T54" s="22">
        <f t="shared" si="14"/>
        <v>18</v>
      </c>
      <c r="U54" s="23" t="str">
        <f>IF(SUMPRODUCT($J$62:T$62,$J54:T54)&lt;0.5, "Pending", IF(T54&lt;0.5, "Complete", "In Progress"))</f>
        <v>Pending</v>
      </c>
      <c r="V54" s="22">
        <v>0</v>
      </c>
      <c r="W54" s="22">
        <f t="shared" si="15"/>
        <v>18</v>
      </c>
      <c r="X54" s="23" t="str">
        <f>IF(SUMPRODUCT($J$62:W$62,$J54:W54)&lt;0.5, "Pending", IF(W54&lt;0.5, "Complete", "In Progress"))</f>
        <v>Pending</v>
      </c>
      <c r="Y54" s="22">
        <v>0</v>
      </c>
      <c r="Z54" s="22">
        <f t="shared" si="16"/>
        <v>18</v>
      </c>
      <c r="AA54" s="23" t="str">
        <f>IF(SUMPRODUCT($J$62:Z$62,$J54:Z54)&lt;0.5, "Pending", IF(Z54&lt;0.5, "Complete", "In Progress"))</f>
        <v>Pending</v>
      </c>
      <c r="AB54" s="22">
        <v>0</v>
      </c>
      <c r="AC54" s="22">
        <f t="shared" si="17"/>
        <v>18</v>
      </c>
      <c r="AD54" s="23" t="str">
        <f>IF(SUMPRODUCT($J$62:AC$62,$J54:AC54)&lt;0.5, "Pending", IF(AC54&lt;0.5, "Complete", "In Progress"))</f>
        <v>Pending</v>
      </c>
      <c r="AE54" s="22">
        <v>0</v>
      </c>
      <c r="AF54" s="22">
        <f t="shared" si="18"/>
        <v>18</v>
      </c>
      <c r="AG54" s="23" t="str">
        <f>IF(SUMPRODUCT($J$62:AF$62,$J54:AF54)&lt;0.5, "Pending", IF(AF54&lt;0.5, "Complete", "In Progress"))</f>
        <v>Pending</v>
      </c>
      <c r="AH54" s="22">
        <v>0</v>
      </c>
      <c r="AI54" s="22">
        <f t="shared" si="19"/>
        <v>18</v>
      </c>
      <c r="AJ54" s="23" t="str">
        <f>IF(SUMPRODUCT($J$62:AI$62,$J54:AI54)&lt;0.5, "Pending", IF(AI54&lt;0.5, "Complete", "In Progress"))</f>
        <v>Pending</v>
      </c>
      <c r="AK54" s="22">
        <v>0</v>
      </c>
      <c r="AL54" s="22">
        <f t="shared" si="20"/>
        <v>18</v>
      </c>
      <c r="AM54" s="23" t="str">
        <f>IF(SUMPRODUCT($J$62:AL$62,$J54:AL54)&lt;0.5, "Pending", IF(AL54&lt;0.5, "Complete", "In Progress"))</f>
        <v>Pending</v>
      </c>
      <c r="AN54" s="22">
        <v>0</v>
      </c>
      <c r="AO54" s="22">
        <f t="shared" si="21"/>
        <v>18</v>
      </c>
      <c r="AP54" s="23" t="str">
        <f>IF(SUMPRODUCT($J$62:AO$62,$J54:AO54)&lt;0.5, "Pending", IF(AO54&lt;0.5, "Complete", "In Progress"))</f>
        <v>Pending</v>
      </c>
      <c r="AQ54" s="22">
        <v>0</v>
      </c>
      <c r="AR54" s="22">
        <f t="shared" si="22"/>
        <v>18</v>
      </c>
      <c r="AS54" s="23" t="str">
        <f>IF(SUMPRODUCT($J$62:AR$62,$J54:AR54)&lt;0.5, "Pending", IF(AR54&lt;0.5, "Complete", "In Progress"))</f>
        <v>Pending</v>
      </c>
      <c r="AT54" s="22">
        <v>0</v>
      </c>
      <c r="AU54" s="22">
        <f t="shared" si="23"/>
        <v>18</v>
      </c>
      <c r="AV54" s="23" t="str">
        <f>IF(SUMPRODUCT($J$62:AU$62,$J54:AU54)&lt;0.5, "Pending", IF(AU54&lt;0.5, "Complete", "In Progress"))</f>
        <v>Pending</v>
      </c>
      <c r="AW54" s="22">
        <v>0</v>
      </c>
      <c r="AX54" s="22">
        <f t="shared" si="24"/>
        <v>18</v>
      </c>
      <c r="AY54" s="23" t="str">
        <f>IF(SUMPRODUCT($J$62:AX$62,$J54:AX54)&lt;0.5, "Pending", IF(AX54&lt;0.5, "Complete", "In Progress"))</f>
        <v>Pending</v>
      </c>
      <c r="AZ54" s="22">
        <v>0</v>
      </c>
      <c r="BA54" s="22">
        <f t="shared" si="25"/>
        <v>18</v>
      </c>
      <c r="BB54" s="23" t="str">
        <f>IF(SUMPRODUCT($J$62:BA$62,$J54:BA54)&lt;0.5, "Pending", IF(BA54&lt;0.5, "Complete", "In Progress"))</f>
        <v>Pending</v>
      </c>
      <c r="BC54" s="22">
        <v>0</v>
      </c>
      <c r="BD54" s="22">
        <f t="shared" si="26"/>
        <v>18</v>
      </c>
      <c r="BE54" s="23" t="str">
        <f>IF(SUMPRODUCT($J$62:BD$62,$J54:BD54)&lt;0.5, "Pending", IF(BD54&lt;0.5, "Complete", "In Progress"))</f>
        <v>Pending</v>
      </c>
      <c r="BF54" s="22">
        <v>0</v>
      </c>
      <c r="BG54" s="22">
        <f t="shared" si="27"/>
        <v>18</v>
      </c>
      <c r="BH54" s="23" t="str">
        <f>IF(SUMPRODUCT($J$62:BG$62,$J54:BG54)&lt;0.5, "Pending", IF(BG54&lt;0.5, "Complete", "In Progress"))</f>
        <v>Pending</v>
      </c>
      <c r="BI54" s="22">
        <v>0</v>
      </c>
      <c r="BJ54" s="22">
        <f t="shared" si="28"/>
        <v>18</v>
      </c>
      <c r="BK54" s="23" t="str">
        <f>IF(SUMPRODUCT($J$62:BJ$62,$J54:BJ54)&lt;0.5, "Pending", IF(BJ54&lt;0.5, "Complete", "In Progress"))</f>
        <v>Pending</v>
      </c>
      <c r="BL54" s="22">
        <v>0</v>
      </c>
      <c r="BM54" s="22">
        <f t="shared" si="29"/>
        <v>18</v>
      </c>
      <c r="BN54" s="23" t="str">
        <f>IF(SUMPRODUCT($J$62:BM$62,$J54:BM54)&lt;0.5, "Pending", IF(BM54&lt;0.5, "Complete", "In Progress"))</f>
        <v>Pending</v>
      </c>
      <c r="BO54" s="22">
        <v>0</v>
      </c>
      <c r="BP54" s="22">
        <f t="shared" si="30"/>
        <v>18</v>
      </c>
      <c r="BQ54" s="23" t="str">
        <f>IF(SUMPRODUCT($J$62:BP$62,$J54:BP54)&lt;0.5, "Pending", IF(BP54&lt;0.5, "Complete", "In Progress"))</f>
        <v>Pending</v>
      </c>
      <c r="BR54" s="22">
        <v>0</v>
      </c>
      <c r="BS54" s="22">
        <f t="shared" si="31"/>
        <v>18</v>
      </c>
      <c r="BT54" s="23" t="str">
        <f>IF(SUMPRODUCT($J$62:BS$62,$J54:BS54)&lt;0.5, "Pending", IF(BS54&lt;0.5, "Complete", "In Progress"))</f>
        <v>Pending</v>
      </c>
      <c r="BU54" s="22">
        <v>0</v>
      </c>
      <c r="BV54" s="22">
        <f t="shared" si="32"/>
        <v>18</v>
      </c>
      <c r="BW54" s="23" t="str">
        <f>IF(SUMPRODUCT($J$62:BV$62,$J54:BV54)&lt;0.5, "Pending", IF(BV54&lt;0.5, "Complete", "In Progress"))</f>
        <v>Pending</v>
      </c>
      <c r="BX54" s="22">
        <v>0</v>
      </c>
      <c r="BY54" s="22">
        <f t="shared" si="33"/>
        <v>18</v>
      </c>
      <c r="BZ54" s="23" t="str">
        <f>IF(SUMPRODUCT($J$62:BY$62,$J54:BY54)&lt;0.5, "Pending", IF(BY54&lt;0.5, "Complete", "In Progress"))</f>
        <v>Pending</v>
      </c>
      <c r="CA54" s="22">
        <v>0</v>
      </c>
      <c r="CB54" s="22">
        <f t="shared" si="34"/>
        <v>18</v>
      </c>
      <c r="CC54" s="23" t="str">
        <f>IF(SUMPRODUCT($J$62:CB$62,$J54:CB54)&lt;0.5, "Pending", IF(CB54&lt;0.5, "Complete", "In Progress"))</f>
        <v>Pending</v>
      </c>
      <c r="CD54" s="22">
        <v>0</v>
      </c>
      <c r="CE54" s="22">
        <f t="shared" si="35"/>
        <v>18</v>
      </c>
      <c r="CF54" s="23" t="str">
        <f>IF(SUMPRODUCT($J$62:CE$62,$J54:CE54)&lt;0.5, "Pending", IF(CE54&lt;0.5, "Complete", "In Progress"))</f>
        <v>Pending</v>
      </c>
      <c r="CG54" s="22">
        <v>0</v>
      </c>
      <c r="CH54" s="22">
        <f t="shared" si="36"/>
        <v>18</v>
      </c>
      <c r="CI54" s="23" t="str">
        <f>IF(SUMPRODUCT($J$62:CH$62,$J54:CH54)&lt;0.5, "Pending", IF(CH54&lt;0.5, "Complete", "In Progress"))</f>
        <v>Pending</v>
      </c>
      <c r="CJ54" s="22">
        <v>0</v>
      </c>
      <c r="CK54" s="22">
        <f t="shared" si="37"/>
        <v>18</v>
      </c>
      <c r="CL54" s="23" t="str">
        <f>IF(SUMPRODUCT($J$62:CK$62,$J54:CK54)&lt;0.5, "Pending", IF(CK54&lt;0.5, "Complete", "In Progress"))</f>
        <v>Pending</v>
      </c>
      <c r="CM54" s="22">
        <v>0</v>
      </c>
      <c r="CN54" s="22">
        <f t="shared" si="38"/>
        <v>18</v>
      </c>
      <c r="CO54" s="23" t="str">
        <f>IF(SUMPRODUCT($J$62:CN$62,$J54:CN54)&lt;0.5, "Pending", IF(CN54&lt;0.5, "Complete", "In Progress"))</f>
        <v>Pending</v>
      </c>
      <c r="CP54" s="22">
        <v>0</v>
      </c>
      <c r="CQ54" s="22">
        <f t="shared" si="39"/>
        <v>18</v>
      </c>
      <c r="CR54" s="23" t="str">
        <f>IF(SUMPRODUCT($J$62:CQ$62,$J54:CQ54)&lt;0.5, "Pending", IF(CQ54&lt;0.5, "Complete", "In Progress"))</f>
        <v>Pending</v>
      </c>
      <c r="CS54" s="22">
        <v>0</v>
      </c>
      <c r="CT54" s="22">
        <f t="shared" si="40"/>
        <v>18</v>
      </c>
      <c r="CU54" s="23" t="str">
        <f>IF(SUMPRODUCT($J$62:CT$62,$J54:CT54)&lt;0.5, "Pending", IF(CT54&lt;0.5, "Complete", "In Progress"))</f>
        <v>Pending</v>
      </c>
      <c r="CV54" s="22">
        <v>0</v>
      </c>
      <c r="CW54" s="22">
        <f t="shared" si="41"/>
        <v>18</v>
      </c>
      <c r="CX54" s="23" t="str">
        <f>IF(SUMPRODUCT($J$62:CW$62,$J54:CW54)&lt;0.5, "Pending", IF(CW54&lt;0.5, "Complete", "In Progress"))</f>
        <v>Pending</v>
      </c>
      <c r="CY54" s="22">
        <v>0</v>
      </c>
      <c r="CZ54" s="22">
        <f t="shared" si="42"/>
        <v>18</v>
      </c>
      <c r="DA54" s="23" t="str">
        <f>IF(SUMPRODUCT($J$62:CZ$62,$J54:CZ54)&lt;0.5, "Pending", IF(CZ54&lt;0.5, "Complete", "In Progress"))</f>
        <v>Pending</v>
      </c>
      <c r="DB54" s="22">
        <v>0</v>
      </c>
      <c r="DC54" s="22">
        <f t="shared" si="43"/>
        <v>18</v>
      </c>
      <c r="DD54" s="23" t="str">
        <f>IF(SUMPRODUCT($J$62:DC$62,$J54:DC54)&lt;0.5, "Pending", IF(DC54&lt;0.5, "Complete", "In Progress"))</f>
        <v>Pending</v>
      </c>
      <c r="DE54" s="22">
        <v>0</v>
      </c>
      <c r="DF54" s="22">
        <f t="shared" si="44"/>
        <v>18</v>
      </c>
      <c r="DG54" s="23" t="str">
        <f>IF(SUMPRODUCT($J$62:DF$62,$J54:DF54)&lt;0.5, "Pending", IF(DF54&lt;0.5, "Complete", "In Progress"))</f>
        <v>Pending</v>
      </c>
      <c r="DH54" s="22">
        <v>0</v>
      </c>
      <c r="DI54" s="22">
        <f t="shared" si="45"/>
        <v>18</v>
      </c>
      <c r="DJ54" s="23" t="str">
        <f>IF(SUMPRODUCT($J$62:DI$62,$J54:DI54)&lt;0.5, "Pending", IF(DI54&lt;0.5, "Complete", "In Progress"))</f>
        <v>Pending</v>
      </c>
      <c r="DK54" s="22">
        <v>0</v>
      </c>
      <c r="DL54" s="22">
        <f t="shared" si="46"/>
        <v>18</v>
      </c>
      <c r="DM54" s="23" t="str">
        <f>IF(SUMPRODUCT($J$62:DL$62,$J54:DL54)&lt;0.5, "Pending", IF(DL54&lt;0.5, "Complete", "In Progress"))</f>
        <v>Pending</v>
      </c>
      <c r="DN54" s="22">
        <v>0</v>
      </c>
      <c r="DO54" s="22">
        <f t="shared" si="47"/>
        <v>18</v>
      </c>
      <c r="DP54" s="23" t="str">
        <f>IF(SUMPRODUCT($J$62:DO$62,$J54:DO54)&lt;0.5, "Pending", IF(DO54&lt;0.5, "Complete", "In Progress"))</f>
        <v>Pending</v>
      </c>
      <c r="DQ54" s="22">
        <v>0</v>
      </c>
      <c r="DR54" s="22">
        <f t="shared" si="48"/>
        <v>18</v>
      </c>
      <c r="DS54" s="23" t="str">
        <f>IF(SUMPRODUCT($J$62:DR$62,$J54:DR54)&lt;0.5, "Pending", IF(DR54&lt;0.5, "Complete", "In Progress"))</f>
        <v>Pending</v>
      </c>
      <c r="DT54" s="22">
        <v>0</v>
      </c>
      <c r="DU54" s="22">
        <f t="shared" si="49"/>
        <v>18</v>
      </c>
      <c r="DV54" s="23" t="str">
        <f>IF(SUMPRODUCT($J$62:DU$62,$J54:DU54)&lt;0.5, "Pending", IF(DU54&lt;0.5, "Complete", "In Progress"))</f>
        <v>Pending</v>
      </c>
      <c r="DW54" s="22">
        <v>0</v>
      </c>
      <c r="DX54" s="22">
        <f t="shared" si="50"/>
        <v>18</v>
      </c>
      <c r="DY54" s="23" t="str">
        <f>IF(SUMPRODUCT($J$62:DX$62,$J54:DX54)&lt;0.5, "Pending", IF(DX54&lt;0.5, "Complete", "In Progress"))</f>
        <v>Pending</v>
      </c>
      <c r="DZ54" s="24"/>
      <c r="EA54" s="25">
        <f>SUMPRODUCT($H$62:DG$62,$H54:DG54)</f>
        <v>0</v>
      </c>
    </row>
    <row r="55" spans="1:131" x14ac:dyDescent="0.25">
      <c r="A55" s="16" t="s">
        <v>119</v>
      </c>
      <c r="B55" s="16" t="s">
        <v>152</v>
      </c>
      <c r="C55" s="16" t="s">
        <v>121</v>
      </c>
      <c r="D55" s="17">
        <v>17</v>
      </c>
      <c r="E55" s="199" t="s">
        <v>162</v>
      </c>
      <c r="F55" s="18" t="s">
        <v>123</v>
      </c>
      <c r="G55" s="19" t="str">
        <f t="shared" ca="1" si="0"/>
        <v>Pending</v>
      </c>
      <c r="H55" s="20">
        <v>1</v>
      </c>
      <c r="I55" s="21">
        <v>18</v>
      </c>
      <c r="J55" s="22">
        <v>0</v>
      </c>
      <c r="K55" s="22">
        <f t="shared" si="11"/>
        <v>18</v>
      </c>
      <c r="L55" s="23" t="str">
        <f>IF(SUMPRODUCT($J$62:K$62,$J55:K55)&lt;0.5, "Pending", IF(K55&lt;0.5, "Complete", "In Progress"))</f>
        <v>Pending</v>
      </c>
      <c r="M55" s="22">
        <v>0</v>
      </c>
      <c r="N55" s="22">
        <f t="shared" si="12"/>
        <v>18</v>
      </c>
      <c r="O55" s="23" t="str">
        <f>IF(SUMPRODUCT($J$62:N$62,$J55:N55)&lt;0.5, "Pending", IF(N55&lt;0.5, "Complete", "In Progress"))</f>
        <v>Pending</v>
      </c>
      <c r="P55" s="22">
        <v>0</v>
      </c>
      <c r="Q55" s="22">
        <f t="shared" si="13"/>
        <v>18</v>
      </c>
      <c r="R55" s="23" t="str">
        <f>IF(SUMPRODUCT($J$62:Q$62,$J55:Q55)&lt;0.5, "Pending", IF(Q55&lt;0.5, "Complete", "In Progress"))</f>
        <v>Pending</v>
      </c>
      <c r="S55" s="22">
        <v>0</v>
      </c>
      <c r="T55" s="22">
        <f t="shared" si="14"/>
        <v>18</v>
      </c>
      <c r="U55" s="23" t="str">
        <f>IF(SUMPRODUCT($J$62:T$62,$J55:T55)&lt;0.5, "Pending", IF(T55&lt;0.5, "Complete", "In Progress"))</f>
        <v>Pending</v>
      </c>
      <c r="V55" s="22">
        <v>0</v>
      </c>
      <c r="W55" s="22">
        <f t="shared" si="15"/>
        <v>18</v>
      </c>
      <c r="X55" s="23" t="str">
        <f>IF(SUMPRODUCT($J$62:W$62,$J55:W55)&lt;0.5, "Pending", IF(W55&lt;0.5, "Complete", "In Progress"))</f>
        <v>Pending</v>
      </c>
      <c r="Y55" s="22">
        <v>0</v>
      </c>
      <c r="Z55" s="22">
        <f t="shared" si="16"/>
        <v>18</v>
      </c>
      <c r="AA55" s="23" t="str">
        <f>IF(SUMPRODUCT($J$62:Z$62,$J55:Z55)&lt;0.5, "Pending", IF(Z55&lt;0.5, "Complete", "In Progress"))</f>
        <v>Pending</v>
      </c>
      <c r="AB55" s="22">
        <v>0</v>
      </c>
      <c r="AC55" s="22">
        <f t="shared" si="17"/>
        <v>18</v>
      </c>
      <c r="AD55" s="23" t="str">
        <f>IF(SUMPRODUCT($J$62:AC$62,$J55:AC55)&lt;0.5, "Pending", IF(AC55&lt;0.5, "Complete", "In Progress"))</f>
        <v>Pending</v>
      </c>
      <c r="AE55" s="22">
        <v>0</v>
      </c>
      <c r="AF55" s="22">
        <f t="shared" si="18"/>
        <v>18</v>
      </c>
      <c r="AG55" s="23" t="str">
        <f>IF(SUMPRODUCT($J$62:AF$62,$J55:AF55)&lt;0.5, "Pending", IF(AF55&lt;0.5, "Complete", "In Progress"))</f>
        <v>Pending</v>
      </c>
      <c r="AH55" s="22">
        <v>0</v>
      </c>
      <c r="AI55" s="22">
        <f t="shared" si="19"/>
        <v>18</v>
      </c>
      <c r="AJ55" s="23" t="str">
        <f>IF(SUMPRODUCT($J$62:AI$62,$J55:AI55)&lt;0.5, "Pending", IF(AI55&lt;0.5, "Complete", "In Progress"))</f>
        <v>Pending</v>
      </c>
      <c r="AK55" s="22">
        <v>0</v>
      </c>
      <c r="AL55" s="22">
        <f t="shared" si="20"/>
        <v>18</v>
      </c>
      <c r="AM55" s="23" t="str">
        <f>IF(SUMPRODUCT($J$62:AL$62,$J55:AL55)&lt;0.5, "Pending", IF(AL55&lt;0.5, "Complete", "In Progress"))</f>
        <v>Pending</v>
      </c>
      <c r="AN55" s="22">
        <v>0</v>
      </c>
      <c r="AO55" s="22">
        <f t="shared" si="21"/>
        <v>18</v>
      </c>
      <c r="AP55" s="23" t="str">
        <f>IF(SUMPRODUCT($J$62:AO$62,$J55:AO55)&lt;0.5, "Pending", IF(AO55&lt;0.5, "Complete", "In Progress"))</f>
        <v>Pending</v>
      </c>
      <c r="AQ55" s="22">
        <v>0</v>
      </c>
      <c r="AR55" s="22">
        <f t="shared" si="22"/>
        <v>18</v>
      </c>
      <c r="AS55" s="23" t="str">
        <f>IF(SUMPRODUCT($J$62:AR$62,$J55:AR55)&lt;0.5, "Pending", IF(AR55&lt;0.5, "Complete", "In Progress"))</f>
        <v>Pending</v>
      </c>
      <c r="AT55" s="22">
        <v>0</v>
      </c>
      <c r="AU55" s="22">
        <f t="shared" si="23"/>
        <v>18</v>
      </c>
      <c r="AV55" s="23" t="str">
        <f>IF(SUMPRODUCT($J$62:AU$62,$J55:AU55)&lt;0.5, "Pending", IF(AU55&lt;0.5, "Complete", "In Progress"))</f>
        <v>Pending</v>
      </c>
      <c r="AW55" s="22">
        <v>0</v>
      </c>
      <c r="AX55" s="22">
        <f t="shared" si="24"/>
        <v>18</v>
      </c>
      <c r="AY55" s="23" t="str">
        <f>IF(SUMPRODUCT($J$62:AX$62,$J55:AX55)&lt;0.5, "Pending", IF(AX55&lt;0.5, "Complete", "In Progress"))</f>
        <v>Pending</v>
      </c>
      <c r="AZ55" s="22">
        <v>0</v>
      </c>
      <c r="BA55" s="22">
        <f t="shared" si="25"/>
        <v>18</v>
      </c>
      <c r="BB55" s="23" t="str">
        <f>IF(SUMPRODUCT($J$62:BA$62,$J55:BA55)&lt;0.5, "Pending", IF(BA55&lt;0.5, "Complete", "In Progress"))</f>
        <v>Pending</v>
      </c>
      <c r="BC55" s="22">
        <v>0</v>
      </c>
      <c r="BD55" s="22">
        <f t="shared" si="26"/>
        <v>18</v>
      </c>
      <c r="BE55" s="23" t="str">
        <f>IF(SUMPRODUCT($J$62:BD$62,$J55:BD55)&lt;0.5, "Pending", IF(BD55&lt;0.5, "Complete", "In Progress"))</f>
        <v>Pending</v>
      </c>
      <c r="BF55" s="22">
        <v>0</v>
      </c>
      <c r="BG55" s="22">
        <f t="shared" si="27"/>
        <v>18</v>
      </c>
      <c r="BH55" s="23" t="str">
        <f>IF(SUMPRODUCT($J$62:BG$62,$J55:BG55)&lt;0.5, "Pending", IF(BG55&lt;0.5, "Complete", "In Progress"))</f>
        <v>Pending</v>
      </c>
      <c r="BI55" s="22">
        <v>0</v>
      </c>
      <c r="BJ55" s="22">
        <f t="shared" si="28"/>
        <v>18</v>
      </c>
      <c r="BK55" s="23" t="str">
        <f>IF(SUMPRODUCT($J$62:BJ$62,$J55:BJ55)&lt;0.5, "Pending", IF(BJ55&lt;0.5, "Complete", "In Progress"))</f>
        <v>Pending</v>
      </c>
      <c r="BL55" s="22">
        <v>0</v>
      </c>
      <c r="BM55" s="22">
        <f t="shared" si="29"/>
        <v>18</v>
      </c>
      <c r="BN55" s="23" t="str">
        <f>IF(SUMPRODUCT($J$62:BM$62,$J55:BM55)&lt;0.5, "Pending", IF(BM55&lt;0.5, "Complete", "In Progress"))</f>
        <v>Pending</v>
      </c>
      <c r="BO55" s="22">
        <v>0</v>
      </c>
      <c r="BP55" s="22">
        <f t="shared" si="30"/>
        <v>18</v>
      </c>
      <c r="BQ55" s="23" t="str">
        <f>IF(SUMPRODUCT($J$62:BP$62,$J55:BP55)&lt;0.5, "Pending", IF(BP55&lt;0.5, "Complete", "In Progress"))</f>
        <v>Pending</v>
      </c>
      <c r="BR55" s="22">
        <v>0</v>
      </c>
      <c r="BS55" s="22">
        <f t="shared" si="31"/>
        <v>18</v>
      </c>
      <c r="BT55" s="23" t="str">
        <f>IF(SUMPRODUCT($J$62:BS$62,$J55:BS55)&lt;0.5, "Pending", IF(BS55&lt;0.5, "Complete", "In Progress"))</f>
        <v>Pending</v>
      </c>
      <c r="BU55" s="22">
        <v>0</v>
      </c>
      <c r="BV55" s="22">
        <f t="shared" si="32"/>
        <v>18</v>
      </c>
      <c r="BW55" s="23" t="str">
        <f>IF(SUMPRODUCT($J$62:BV$62,$J55:BV55)&lt;0.5, "Pending", IF(BV55&lt;0.5, "Complete", "In Progress"))</f>
        <v>Pending</v>
      </c>
      <c r="BX55" s="22">
        <v>0</v>
      </c>
      <c r="BY55" s="22">
        <f t="shared" si="33"/>
        <v>18</v>
      </c>
      <c r="BZ55" s="23" t="str">
        <f>IF(SUMPRODUCT($J$62:BY$62,$J55:BY55)&lt;0.5, "Pending", IF(BY55&lt;0.5, "Complete", "In Progress"))</f>
        <v>Pending</v>
      </c>
      <c r="CA55" s="22">
        <v>0</v>
      </c>
      <c r="CB55" s="22">
        <f t="shared" si="34"/>
        <v>18</v>
      </c>
      <c r="CC55" s="23" t="str">
        <f>IF(SUMPRODUCT($J$62:CB$62,$J55:CB55)&lt;0.5, "Pending", IF(CB55&lt;0.5, "Complete", "In Progress"))</f>
        <v>Pending</v>
      </c>
      <c r="CD55" s="22">
        <v>0</v>
      </c>
      <c r="CE55" s="22">
        <f t="shared" si="35"/>
        <v>18</v>
      </c>
      <c r="CF55" s="23" t="str">
        <f>IF(SUMPRODUCT($J$62:CE$62,$J55:CE55)&lt;0.5, "Pending", IF(CE55&lt;0.5, "Complete", "In Progress"))</f>
        <v>Pending</v>
      </c>
      <c r="CG55" s="22">
        <v>0</v>
      </c>
      <c r="CH55" s="22">
        <f t="shared" si="36"/>
        <v>18</v>
      </c>
      <c r="CI55" s="23" t="str">
        <f>IF(SUMPRODUCT($J$62:CH$62,$J55:CH55)&lt;0.5, "Pending", IF(CH55&lt;0.5, "Complete", "In Progress"))</f>
        <v>Pending</v>
      </c>
      <c r="CJ55" s="22">
        <v>0</v>
      </c>
      <c r="CK55" s="22">
        <f t="shared" si="37"/>
        <v>18</v>
      </c>
      <c r="CL55" s="23" t="str">
        <f>IF(SUMPRODUCT($J$62:CK$62,$J55:CK55)&lt;0.5, "Pending", IF(CK55&lt;0.5, "Complete", "In Progress"))</f>
        <v>Pending</v>
      </c>
      <c r="CM55" s="22">
        <v>0</v>
      </c>
      <c r="CN55" s="22">
        <f t="shared" si="38"/>
        <v>18</v>
      </c>
      <c r="CO55" s="23" t="str">
        <f>IF(SUMPRODUCT($J$62:CN$62,$J55:CN55)&lt;0.5, "Pending", IF(CN55&lt;0.5, "Complete", "In Progress"))</f>
        <v>Pending</v>
      </c>
      <c r="CP55" s="22">
        <v>0</v>
      </c>
      <c r="CQ55" s="22">
        <f t="shared" si="39"/>
        <v>18</v>
      </c>
      <c r="CR55" s="23" t="str">
        <f>IF(SUMPRODUCT($J$62:CQ$62,$J55:CQ55)&lt;0.5, "Pending", IF(CQ55&lt;0.5, "Complete", "In Progress"))</f>
        <v>Pending</v>
      </c>
      <c r="CS55" s="22">
        <v>0</v>
      </c>
      <c r="CT55" s="22">
        <f t="shared" si="40"/>
        <v>18</v>
      </c>
      <c r="CU55" s="23" t="str">
        <f>IF(SUMPRODUCT($J$62:CT$62,$J55:CT55)&lt;0.5, "Pending", IF(CT55&lt;0.5, "Complete", "In Progress"))</f>
        <v>Pending</v>
      </c>
      <c r="CV55" s="22">
        <v>0</v>
      </c>
      <c r="CW55" s="22">
        <f t="shared" si="41"/>
        <v>18</v>
      </c>
      <c r="CX55" s="23" t="str">
        <f>IF(SUMPRODUCT($J$62:CW$62,$J55:CW55)&lt;0.5, "Pending", IF(CW55&lt;0.5, "Complete", "In Progress"))</f>
        <v>Pending</v>
      </c>
      <c r="CY55" s="22">
        <v>0</v>
      </c>
      <c r="CZ55" s="22">
        <f t="shared" si="42"/>
        <v>18</v>
      </c>
      <c r="DA55" s="23" t="str">
        <f>IF(SUMPRODUCT($J$62:CZ$62,$J55:CZ55)&lt;0.5, "Pending", IF(CZ55&lt;0.5, "Complete", "In Progress"))</f>
        <v>Pending</v>
      </c>
      <c r="DB55" s="22">
        <v>0</v>
      </c>
      <c r="DC55" s="22">
        <f t="shared" si="43"/>
        <v>18</v>
      </c>
      <c r="DD55" s="23" t="str">
        <f>IF(SUMPRODUCT($J$62:DC$62,$J55:DC55)&lt;0.5, "Pending", IF(DC55&lt;0.5, "Complete", "In Progress"))</f>
        <v>Pending</v>
      </c>
      <c r="DE55" s="22">
        <v>0</v>
      </c>
      <c r="DF55" s="22">
        <f t="shared" si="44"/>
        <v>18</v>
      </c>
      <c r="DG55" s="23" t="str">
        <f>IF(SUMPRODUCT($J$62:DF$62,$J55:DF55)&lt;0.5, "Pending", IF(DF55&lt;0.5, "Complete", "In Progress"))</f>
        <v>Pending</v>
      </c>
      <c r="DH55" s="22">
        <v>0</v>
      </c>
      <c r="DI55" s="22">
        <f t="shared" si="45"/>
        <v>18</v>
      </c>
      <c r="DJ55" s="23" t="str">
        <f>IF(SUMPRODUCT($J$62:DI$62,$J55:DI55)&lt;0.5, "Pending", IF(DI55&lt;0.5, "Complete", "In Progress"))</f>
        <v>Pending</v>
      </c>
      <c r="DK55" s="22">
        <v>0</v>
      </c>
      <c r="DL55" s="22">
        <f t="shared" si="46"/>
        <v>18</v>
      </c>
      <c r="DM55" s="23" t="str">
        <f>IF(SUMPRODUCT($J$62:DL$62,$J55:DL55)&lt;0.5, "Pending", IF(DL55&lt;0.5, "Complete", "In Progress"))</f>
        <v>Pending</v>
      </c>
      <c r="DN55" s="22">
        <v>0</v>
      </c>
      <c r="DO55" s="22">
        <f t="shared" si="47"/>
        <v>18</v>
      </c>
      <c r="DP55" s="23" t="str">
        <f>IF(SUMPRODUCT($J$62:DO$62,$J55:DO55)&lt;0.5, "Pending", IF(DO55&lt;0.5, "Complete", "In Progress"))</f>
        <v>Pending</v>
      </c>
      <c r="DQ55" s="22">
        <v>0</v>
      </c>
      <c r="DR55" s="22">
        <f t="shared" si="48"/>
        <v>18</v>
      </c>
      <c r="DS55" s="23" t="str">
        <f>IF(SUMPRODUCT($J$62:DR$62,$J55:DR55)&lt;0.5, "Pending", IF(DR55&lt;0.5, "Complete", "In Progress"))</f>
        <v>Pending</v>
      </c>
      <c r="DT55" s="22">
        <v>0</v>
      </c>
      <c r="DU55" s="22">
        <f t="shared" si="49"/>
        <v>18</v>
      </c>
      <c r="DV55" s="23" t="str">
        <f>IF(SUMPRODUCT($J$62:DU$62,$J55:DU55)&lt;0.5, "Pending", IF(DU55&lt;0.5, "Complete", "In Progress"))</f>
        <v>Pending</v>
      </c>
      <c r="DW55" s="22">
        <v>0</v>
      </c>
      <c r="DX55" s="22">
        <f t="shared" si="50"/>
        <v>18</v>
      </c>
      <c r="DY55" s="23" t="str">
        <f>IF(SUMPRODUCT($J$62:DX$62,$J55:DX55)&lt;0.5, "Pending", IF(DX55&lt;0.5, "Complete", "In Progress"))</f>
        <v>Pending</v>
      </c>
      <c r="DZ55" s="24"/>
      <c r="EA55" s="25">
        <f>SUMPRODUCT($H$62:DG$62,$H55:DG55)</f>
        <v>0</v>
      </c>
    </row>
    <row r="56" spans="1:131" x14ac:dyDescent="0.25">
      <c r="A56" s="16" t="s">
        <v>124</v>
      </c>
      <c r="B56" s="16" t="s">
        <v>152</v>
      </c>
      <c r="C56" s="16" t="s">
        <v>121</v>
      </c>
      <c r="D56" s="17">
        <v>18</v>
      </c>
      <c r="E56" s="199" t="s">
        <v>163</v>
      </c>
      <c r="F56" s="18" t="s">
        <v>123</v>
      </c>
      <c r="G56" s="19" t="str">
        <f t="shared" ca="1" si="0"/>
        <v>Pending</v>
      </c>
      <c r="H56" s="20">
        <v>1</v>
      </c>
      <c r="I56" s="21">
        <v>0</v>
      </c>
      <c r="J56" s="22">
        <v>0</v>
      </c>
      <c r="K56" s="22">
        <f t="shared" ref="K56" si="411">MAX(I56-J56, 0)</f>
        <v>0</v>
      </c>
      <c r="L56" s="23" t="str">
        <f>IF(SUMPRODUCT($J$62:K$62,$J56:K56)&lt;0.5, "Pending", IF(K56&lt;0.5, "Complete", "In Progress"))</f>
        <v>Pending</v>
      </c>
      <c r="M56" s="22">
        <v>0</v>
      </c>
      <c r="N56" s="22">
        <f t="shared" ref="N56" si="412">MAX(K56-M56,0)</f>
        <v>0</v>
      </c>
      <c r="O56" s="23" t="str">
        <f>IF(SUMPRODUCT($J$62:N$62,$J56:N56)&lt;0.5, "Pending", IF(N56&lt;0.5, "Complete", "In Progress"))</f>
        <v>Pending</v>
      </c>
      <c r="P56" s="22">
        <v>0</v>
      </c>
      <c r="Q56" s="22">
        <f t="shared" ref="Q56" si="413">MAX(N56-P56,0)</f>
        <v>0</v>
      </c>
      <c r="R56" s="23" t="str">
        <f>IF(SUMPRODUCT($J$62:Q$62,$J56:Q56)&lt;0.5, "Pending", IF(Q56&lt;0.5, "Complete", "In Progress"))</f>
        <v>Pending</v>
      </c>
      <c r="S56" s="22">
        <v>0</v>
      </c>
      <c r="T56" s="22">
        <f t="shared" ref="T56" si="414">MAX(Q56-S56,0)</f>
        <v>0</v>
      </c>
      <c r="U56" s="23" t="str">
        <f>IF(SUMPRODUCT($J$62:T$62,$J56:T56)&lt;0.5, "Pending", IF(T56&lt;0.5, "Complete", "In Progress"))</f>
        <v>Pending</v>
      </c>
      <c r="V56" s="22">
        <v>0</v>
      </c>
      <c r="W56" s="22">
        <f t="shared" ref="W56" si="415">MAX(T56-V56,0)</f>
        <v>0</v>
      </c>
      <c r="X56" s="23" t="str">
        <f>IF(SUMPRODUCT($J$62:W$62,$J56:W56)&lt;0.5, "Pending", IF(W56&lt;0.5, "Complete", "In Progress"))</f>
        <v>Pending</v>
      </c>
      <c r="Y56" s="22">
        <v>0</v>
      </c>
      <c r="Z56" s="22">
        <f t="shared" ref="Z56" si="416">MAX(W56-Y56,0)</f>
        <v>0</v>
      </c>
      <c r="AA56" s="23" t="str">
        <f>IF(SUMPRODUCT($J$62:Z$62,$J56:Z56)&lt;0.5, "Pending", IF(Z56&lt;0.5, "Complete", "In Progress"))</f>
        <v>Pending</v>
      </c>
      <c r="AB56" s="22">
        <v>0</v>
      </c>
      <c r="AC56" s="22">
        <f t="shared" ref="AC56" si="417">MAX(Z56-AB56,0)</f>
        <v>0</v>
      </c>
      <c r="AD56" s="23" t="str">
        <f>IF(SUMPRODUCT($J$62:AC$62,$J56:AC56)&lt;0.5, "Pending", IF(AC56&lt;0.5, "Complete", "In Progress"))</f>
        <v>Pending</v>
      </c>
      <c r="AE56" s="22">
        <v>0</v>
      </c>
      <c r="AF56" s="22">
        <f t="shared" ref="AF56" si="418">MAX(AC56-AE56,0)</f>
        <v>0</v>
      </c>
      <c r="AG56" s="23" t="str">
        <f>IF(SUMPRODUCT($J$62:AF$62,$J56:AF56)&lt;0.5, "Pending", IF(AF56&lt;0.5, "Complete", "In Progress"))</f>
        <v>Pending</v>
      </c>
      <c r="AH56" s="22">
        <v>0</v>
      </c>
      <c r="AI56" s="22">
        <f t="shared" ref="AI56" si="419">MAX(AF56-AH56,0)</f>
        <v>0</v>
      </c>
      <c r="AJ56" s="23" t="str">
        <f>IF(SUMPRODUCT($J$62:AI$62,$J56:AI56)&lt;0.5, "Pending", IF(AI56&lt;0.5, "Complete", "In Progress"))</f>
        <v>Pending</v>
      </c>
      <c r="AK56" s="22">
        <v>0</v>
      </c>
      <c r="AL56" s="22">
        <f t="shared" ref="AL56" si="420">MAX(AI56-AK56,0)</f>
        <v>0</v>
      </c>
      <c r="AM56" s="23" t="str">
        <f>IF(SUMPRODUCT($J$62:AL$62,$J56:AL56)&lt;0.5, "Pending", IF(AL56&lt;0.5, "Complete", "In Progress"))</f>
        <v>Pending</v>
      </c>
      <c r="AN56" s="22">
        <v>0</v>
      </c>
      <c r="AO56" s="22">
        <f t="shared" ref="AO56" si="421">MAX(AL56-AN56,0)</f>
        <v>0</v>
      </c>
      <c r="AP56" s="23" t="str">
        <f>IF(SUMPRODUCT($J$62:AO$62,$J56:AO56)&lt;0.5, "Pending", IF(AO56&lt;0.5, "Complete", "In Progress"))</f>
        <v>Pending</v>
      </c>
      <c r="AQ56" s="22">
        <v>0</v>
      </c>
      <c r="AR56" s="22">
        <f t="shared" ref="AR56" si="422">MAX(AO56-AQ56,0)</f>
        <v>0</v>
      </c>
      <c r="AS56" s="23" t="str">
        <f>IF(SUMPRODUCT($J$62:AR$62,$J56:AR56)&lt;0.5, "Pending", IF(AR56&lt;0.5, "Complete", "In Progress"))</f>
        <v>Pending</v>
      </c>
      <c r="AT56" s="22">
        <v>0</v>
      </c>
      <c r="AU56" s="22">
        <f t="shared" ref="AU56" si="423">MAX(AR56-AT56,0)</f>
        <v>0</v>
      </c>
      <c r="AV56" s="23" t="str">
        <f>IF(SUMPRODUCT($J$62:AU$62,$J56:AU56)&lt;0.5, "Pending", IF(AU56&lt;0.5, "Complete", "In Progress"))</f>
        <v>Pending</v>
      </c>
      <c r="AW56" s="22">
        <v>0</v>
      </c>
      <c r="AX56" s="22">
        <f t="shared" ref="AX56" si="424">MAX(AU56-AW56,0)</f>
        <v>0</v>
      </c>
      <c r="AY56" s="23" t="str">
        <f>IF(SUMPRODUCT($J$62:AX$62,$J56:AX56)&lt;0.5, "Pending", IF(AX56&lt;0.5, "Complete", "In Progress"))</f>
        <v>Pending</v>
      </c>
      <c r="AZ56" s="22">
        <v>0</v>
      </c>
      <c r="BA56" s="22">
        <f t="shared" ref="BA56" si="425">MAX(AX56-AZ56,0)</f>
        <v>0</v>
      </c>
      <c r="BB56" s="23" t="str">
        <f>IF(SUMPRODUCT($J$62:BA$62,$J56:BA56)&lt;0.5, "Pending", IF(BA56&lt;0.5, "Complete", "In Progress"))</f>
        <v>Pending</v>
      </c>
      <c r="BC56" s="22">
        <v>0</v>
      </c>
      <c r="BD56" s="22">
        <f t="shared" ref="BD56" si="426">MAX(BA56-BC56,0)</f>
        <v>0</v>
      </c>
      <c r="BE56" s="23" t="str">
        <f>IF(SUMPRODUCT($J$62:BD$62,$J56:BD56)&lt;0.5, "Pending", IF(BD56&lt;0.5, "Complete", "In Progress"))</f>
        <v>Pending</v>
      </c>
      <c r="BF56" s="22">
        <v>0</v>
      </c>
      <c r="BG56" s="22">
        <f t="shared" ref="BG56" si="427">MAX(BD56-BF56,0)</f>
        <v>0</v>
      </c>
      <c r="BH56" s="23" t="str">
        <f>IF(SUMPRODUCT($J$62:BG$62,$J56:BG56)&lt;0.5, "Pending", IF(BG56&lt;0.5, "Complete", "In Progress"))</f>
        <v>Pending</v>
      </c>
      <c r="BI56" s="22">
        <v>0</v>
      </c>
      <c r="BJ56" s="22">
        <f t="shared" ref="BJ56" si="428">MAX(BG56-BI56,0)</f>
        <v>0</v>
      </c>
      <c r="BK56" s="23" t="str">
        <f>IF(SUMPRODUCT($J$62:BJ$62,$J56:BJ56)&lt;0.5, "Pending", IF(BJ56&lt;0.5, "Complete", "In Progress"))</f>
        <v>Pending</v>
      </c>
      <c r="BL56" s="22">
        <v>0</v>
      </c>
      <c r="BM56" s="22">
        <f t="shared" ref="BM56" si="429">MAX(BJ56-BL56,0)</f>
        <v>0</v>
      </c>
      <c r="BN56" s="23" t="str">
        <f>IF(SUMPRODUCT($J$62:BM$62,$J56:BM56)&lt;0.5, "Pending", IF(BM56&lt;0.5, "Complete", "In Progress"))</f>
        <v>Pending</v>
      </c>
      <c r="BO56" s="22">
        <v>0</v>
      </c>
      <c r="BP56" s="22">
        <f t="shared" ref="BP56" si="430">MAX(BM56-BO56,0)</f>
        <v>0</v>
      </c>
      <c r="BQ56" s="23" t="str">
        <f>IF(SUMPRODUCT($J$62:BP$62,$J56:BP56)&lt;0.5, "Pending", IF(BP56&lt;0.5, "Complete", "In Progress"))</f>
        <v>Pending</v>
      </c>
      <c r="BR56" s="22">
        <v>0</v>
      </c>
      <c r="BS56" s="22">
        <f t="shared" ref="BS56" si="431">MAX(BP56-BR56,0)</f>
        <v>0</v>
      </c>
      <c r="BT56" s="23" t="str">
        <f>IF(SUMPRODUCT($J$62:BS$62,$J56:BS56)&lt;0.5, "Pending", IF(BS56&lt;0.5, "Complete", "In Progress"))</f>
        <v>Pending</v>
      </c>
      <c r="BU56" s="22">
        <v>0</v>
      </c>
      <c r="BV56" s="22">
        <f t="shared" ref="BV56" si="432">MAX(BS56-BU56,0)</f>
        <v>0</v>
      </c>
      <c r="BW56" s="23" t="str">
        <f>IF(SUMPRODUCT($J$62:BV$62,$J56:BV56)&lt;0.5, "Pending", IF(BV56&lt;0.5, "Complete", "In Progress"))</f>
        <v>Pending</v>
      </c>
      <c r="BX56" s="22">
        <v>0</v>
      </c>
      <c r="BY56" s="22">
        <f t="shared" ref="BY56" si="433">MAX(BV56-BX56,0)</f>
        <v>0</v>
      </c>
      <c r="BZ56" s="23" t="str">
        <f>IF(SUMPRODUCT($J$62:BY$62,$J56:BY56)&lt;0.5, "Pending", IF(BY56&lt;0.5, "Complete", "In Progress"))</f>
        <v>Pending</v>
      </c>
      <c r="CA56" s="22">
        <v>0</v>
      </c>
      <c r="CB56" s="22">
        <f t="shared" ref="CB56" si="434">MAX(BY56-CA56,0)</f>
        <v>0</v>
      </c>
      <c r="CC56" s="23" t="str">
        <f>IF(SUMPRODUCT($J$62:CB$62,$J56:CB56)&lt;0.5, "Pending", IF(CB56&lt;0.5, "Complete", "In Progress"))</f>
        <v>Pending</v>
      </c>
      <c r="CD56" s="22">
        <v>0</v>
      </c>
      <c r="CE56" s="22">
        <f t="shared" ref="CE56" si="435">MAX(CB56-CD56,0)</f>
        <v>0</v>
      </c>
      <c r="CF56" s="23" t="str">
        <f>IF(SUMPRODUCT($J$62:CE$62,$J56:CE56)&lt;0.5, "Pending", IF(CE56&lt;0.5, "Complete", "In Progress"))</f>
        <v>Pending</v>
      </c>
      <c r="CG56" s="22">
        <v>0</v>
      </c>
      <c r="CH56" s="22">
        <f t="shared" ref="CH56" si="436">MAX(CE56-CG56,0)</f>
        <v>0</v>
      </c>
      <c r="CI56" s="23" t="str">
        <f>IF(SUMPRODUCT($J$62:CH$62,$J56:CH56)&lt;0.5, "Pending", IF(CH56&lt;0.5, "Complete", "In Progress"))</f>
        <v>Pending</v>
      </c>
      <c r="CJ56" s="22">
        <v>0</v>
      </c>
      <c r="CK56" s="22">
        <f t="shared" ref="CK56" si="437">MAX(CH56-CJ56,0)</f>
        <v>0</v>
      </c>
      <c r="CL56" s="23" t="str">
        <f>IF(SUMPRODUCT($J$62:CK$62,$J56:CK56)&lt;0.5, "Pending", IF(CK56&lt;0.5, "Complete", "In Progress"))</f>
        <v>Pending</v>
      </c>
      <c r="CM56" s="22">
        <v>0</v>
      </c>
      <c r="CN56" s="22">
        <f t="shared" ref="CN56" si="438">MAX(CK56-CM56,0)</f>
        <v>0</v>
      </c>
      <c r="CO56" s="23" t="str">
        <f>IF(SUMPRODUCT($J$62:CN$62,$J56:CN56)&lt;0.5, "Pending", IF(CN56&lt;0.5, "Complete", "In Progress"))</f>
        <v>Pending</v>
      </c>
      <c r="CP56" s="22">
        <v>0</v>
      </c>
      <c r="CQ56" s="22">
        <f t="shared" ref="CQ56" si="439">MAX(CN56-CP56,0)</f>
        <v>0</v>
      </c>
      <c r="CR56" s="23" t="str">
        <f>IF(SUMPRODUCT($J$62:CQ$62,$J56:CQ56)&lt;0.5, "Pending", IF(CQ56&lt;0.5, "Complete", "In Progress"))</f>
        <v>Pending</v>
      </c>
      <c r="CS56" s="22">
        <v>0</v>
      </c>
      <c r="CT56" s="22">
        <f t="shared" ref="CT56" si="440">MAX(CQ56-CS56,0)</f>
        <v>0</v>
      </c>
      <c r="CU56" s="23" t="str">
        <f>IF(SUMPRODUCT($J$62:CT$62,$J56:CT56)&lt;0.5, "Pending", IF(CT56&lt;0.5, "Complete", "In Progress"))</f>
        <v>Pending</v>
      </c>
      <c r="CV56" s="22">
        <v>0</v>
      </c>
      <c r="CW56" s="22">
        <f t="shared" ref="CW56" si="441">MAX(CT56-CV56,0)</f>
        <v>0</v>
      </c>
      <c r="CX56" s="23" t="str">
        <f>IF(SUMPRODUCT($J$62:CW$62,$J56:CW56)&lt;0.5, "Pending", IF(CW56&lt;0.5, "Complete", "In Progress"))</f>
        <v>Pending</v>
      </c>
      <c r="CY56" s="22">
        <v>0</v>
      </c>
      <c r="CZ56" s="22">
        <f t="shared" ref="CZ56" si="442">MAX(CW56-CY56,0)</f>
        <v>0</v>
      </c>
      <c r="DA56" s="23" t="str">
        <f>IF(SUMPRODUCT($J$62:CZ$62,$J56:CZ56)&lt;0.5, "Pending", IF(CZ56&lt;0.5, "Complete", "In Progress"))</f>
        <v>Pending</v>
      </c>
      <c r="DB56" s="22">
        <v>0</v>
      </c>
      <c r="DC56" s="22">
        <f t="shared" ref="DC56" si="443">MAX(CZ56-DB56,0)</f>
        <v>0</v>
      </c>
      <c r="DD56" s="23" t="str">
        <f>IF(SUMPRODUCT($J$62:DC$62,$J56:DC56)&lt;0.5, "Pending", IF(DC56&lt;0.5, "Complete", "In Progress"))</f>
        <v>Pending</v>
      </c>
      <c r="DE56" s="22">
        <v>0</v>
      </c>
      <c r="DF56" s="22">
        <f t="shared" ref="DF56" si="444">MAX(DC56-DE56,0)</f>
        <v>0</v>
      </c>
      <c r="DG56" s="23" t="str">
        <f>IF(SUMPRODUCT($J$62:DF$62,$J56:DF56)&lt;0.5, "Pending", IF(DF56&lt;0.5, "Complete", "In Progress"))</f>
        <v>Pending</v>
      </c>
      <c r="DH56" s="22">
        <v>0</v>
      </c>
      <c r="DI56" s="22">
        <f t="shared" ref="DI56" si="445">MAX(DF56-DH56,0)</f>
        <v>0</v>
      </c>
      <c r="DJ56" s="23" t="str">
        <f>IF(SUMPRODUCT($J$62:DI$62,$J56:DI56)&lt;0.5, "Pending", IF(DI56&lt;0.5, "Complete", "In Progress"))</f>
        <v>Pending</v>
      </c>
      <c r="DK56" s="22">
        <v>0</v>
      </c>
      <c r="DL56" s="22">
        <f t="shared" ref="DL56" si="446">MAX(DI56-DK56,0)</f>
        <v>0</v>
      </c>
      <c r="DM56" s="23" t="str">
        <f>IF(SUMPRODUCT($J$62:DL$62,$J56:DL56)&lt;0.5, "Pending", IF(DL56&lt;0.5, "Complete", "In Progress"))</f>
        <v>Pending</v>
      </c>
      <c r="DN56" s="22">
        <v>0</v>
      </c>
      <c r="DO56" s="22">
        <f t="shared" ref="DO56" si="447">MAX(DL56-DN56,0)</f>
        <v>0</v>
      </c>
      <c r="DP56" s="23" t="str">
        <f>IF(SUMPRODUCT($J$62:DO$62,$J56:DO56)&lt;0.5, "Pending", IF(DO56&lt;0.5, "Complete", "In Progress"))</f>
        <v>Pending</v>
      </c>
      <c r="DQ56" s="22">
        <v>0</v>
      </c>
      <c r="DR56" s="22">
        <f t="shared" ref="DR56" si="448">MAX(DO56-DQ56,0)</f>
        <v>0</v>
      </c>
      <c r="DS56" s="23" t="str">
        <f>IF(SUMPRODUCT($J$62:DR$62,$J56:DR56)&lt;0.5, "Pending", IF(DR56&lt;0.5, "Complete", "In Progress"))</f>
        <v>Pending</v>
      </c>
      <c r="DT56" s="22">
        <v>0</v>
      </c>
      <c r="DU56" s="22">
        <f t="shared" ref="DU56" si="449">MAX(DR56-DT56,0)</f>
        <v>0</v>
      </c>
      <c r="DV56" s="23" t="str">
        <f>IF(SUMPRODUCT($J$62:DU$62,$J56:DU56)&lt;0.5, "Pending", IF(DU56&lt;0.5, "Complete", "In Progress"))</f>
        <v>Pending</v>
      </c>
      <c r="DW56" s="22">
        <v>0</v>
      </c>
      <c r="DX56" s="22">
        <f t="shared" ref="DX56" si="450">MAX(DU56-DW56,0)</f>
        <v>0</v>
      </c>
      <c r="DY56" s="23" t="str">
        <f>IF(SUMPRODUCT($J$62:DX$62,$J56:DX56)&lt;0.5, "Pending", IF(DX56&lt;0.5, "Complete", "In Progress"))</f>
        <v>Pending</v>
      </c>
      <c r="DZ56" s="24"/>
      <c r="EA56" s="25">
        <f>SUMPRODUCT($H$62:DG$62,$H56:DG56)</f>
        <v>0</v>
      </c>
    </row>
    <row r="57" spans="1:131" x14ac:dyDescent="0.25">
      <c r="A57" s="16" t="s">
        <v>124</v>
      </c>
      <c r="B57" s="16" t="s">
        <v>152</v>
      </c>
      <c r="C57" s="16" t="s">
        <v>121</v>
      </c>
      <c r="D57" s="17">
        <v>18</v>
      </c>
      <c r="E57" s="199" t="s">
        <v>163</v>
      </c>
      <c r="F57" s="18" t="s">
        <v>126</v>
      </c>
      <c r="G57" s="19" t="str">
        <f t="shared" ca="1" si="0"/>
        <v>Pending</v>
      </c>
      <c r="H57" s="20">
        <v>1</v>
      </c>
      <c r="I57" s="21">
        <v>0</v>
      </c>
      <c r="J57" s="22">
        <v>0</v>
      </c>
      <c r="K57" s="22">
        <f t="shared" si="11"/>
        <v>0</v>
      </c>
      <c r="L57" s="23" t="str">
        <f>IF(SUMPRODUCT($J$62:K$62,$J57:K57)&lt;0.5, "Pending", IF(K57&lt;0.5, "Complete", "In Progress"))</f>
        <v>Pending</v>
      </c>
      <c r="M57" s="22">
        <v>0</v>
      </c>
      <c r="N57" s="22">
        <f t="shared" si="12"/>
        <v>0</v>
      </c>
      <c r="O57" s="23" t="str">
        <f>IF(SUMPRODUCT($J$62:N$62,$J57:N57)&lt;0.5, "Pending", IF(N57&lt;0.5, "Complete", "In Progress"))</f>
        <v>Pending</v>
      </c>
      <c r="P57" s="22">
        <v>0</v>
      </c>
      <c r="Q57" s="22">
        <f t="shared" si="13"/>
        <v>0</v>
      </c>
      <c r="R57" s="23" t="str">
        <f>IF(SUMPRODUCT($J$62:Q$62,$J57:Q57)&lt;0.5, "Pending", IF(Q57&lt;0.5, "Complete", "In Progress"))</f>
        <v>Pending</v>
      </c>
      <c r="S57" s="22">
        <v>0</v>
      </c>
      <c r="T57" s="22">
        <f t="shared" si="14"/>
        <v>0</v>
      </c>
      <c r="U57" s="23" t="str">
        <f>IF(SUMPRODUCT($J$62:T$62,$J57:T57)&lt;0.5, "Pending", IF(T57&lt;0.5, "Complete", "In Progress"))</f>
        <v>Pending</v>
      </c>
      <c r="V57" s="22">
        <v>0</v>
      </c>
      <c r="W57" s="22">
        <f t="shared" si="15"/>
        <v>0</v>
      </c>
      <c r="X57" s="23" t="str">
        <f>IF(SUMPRODUCT($J$62:W$62,$J57:W57)&lt;0.5, "Pending", IF(W57&lt;0.5, "Complete", "In Progress"))</f>
        <v>Pending</v>
      </c>
      <c r="Y57" s="22">
        <v>0</v>
      </c>
      <c r="Z57" s="22">
        <f t="shared" si="16"/>
        <v>0</v>
      </c>
      <c r="AA57" s="23" t="str">
        <f>IF(SUMPRODUCT($J$62:Z$62,$J57:Z57)&lt;0.5, "Pending", IF(Z57&lt;0.5, "Complete", "In Progress"))</f>
        <v>Pending</v>
      </c>
      <c r="AB57" s="22">
        <v>0</v>
      </c>
      <c r="AC57" s="22">
        <f t="shared" si="17"/>
        <v>0</v>
      </c>
      <c r="AD57" s="23" t="str">
        <f>IF(SUMPRODUCT($J$62:AC$62,$J57:AC57)&lt;0.5, "Pending", IF(AC57&lt;0.5, "Complete", "In Progress"))</f>
        <v>Pending</v>
      </c>
      <c r="AE57" s="22">
        <v>0</v>
      </c>
      <c r="AF57" s="22">
        <f t="shared" si="18"/>
        <v>0</v>
      </c>
      <c r="AG57" s="23" t="str">
        <f>IF(SUMPRODUCT($J$62:AF$62,$J57:AF57)&lt;0.5, "Pending", IF(AF57&lt;0.5, "Complete", "In Progress"))</f>
        <v>Pending</v>
      </c>
      <c r="AH57" s="22">
        <v>0</v>
      </c>
      <c r="AI57" s="22">
        <f t="shared" si="19"/>
        <v>0</v>
      </c>
      <c r="AJ57" s="23" t="str">
        <f>IF(SUMPRODUCT($J$62:AI$62,$J57:AI57)&lt;0.5, "Pending", IF(AI57&lt;0.5, "Complete", "In Progress"))</f>
        <v>Pending</v>
      </c>
      <c r="AK57" s="22">
        <v>0</v>
      </c>
      <c r="AL57" s="22">
        <f t="shared" si="20"/>
        <v>0</v>
      </c>
      <c r="AM57" s="23" t="str">
        <f>IF(SUMPRODUCT($J$62:AL$62,$J57:AL57)&lt;0.5, "Pending", IF(AL57&lt;0.5, "Complete", "In Progress"))</f>
        <v>Pending</v>
      </c>
      <c r="AN57" s="22">
        <v>0</v>
      </c>
      <c r="AO57" s="22">
        <f t="shared" si="21"/>
        <v>0</v>
      </c>
      <c r="AP57" s="23" t="str">
        <f>IF(SUMPRODUCT($J$62:AO$62,$J57:AO57)&lt;0.5, "Pending", IF(AO57&lt;0.5, "Complete", "In Progress"))</f>
        <v>Pending</v>
      </c>
      <c r="AQ57" s="22">
        <v>0</v>
      </c>
      <c r="AR57" s="22">
        <f t="shared" si="22"/>
        <v>0</v>
      </c>
      <c r="AS57" s="23" t="str">
        <f>IF(SUMPRODUCT($J$62:AR$62,$J57:AR57)&lt;0.5, "Pending", IF(AR57&lt;0.5, "Complete", "In Progress"))</f>
        <v>Pending</v>
      </c>
      <c r="AT57" s="22">
        <v>0</v>
      </c>
      <c r="AU57" s="22">
        <f t="shared" si="23"/>
        <v>0</v>
      </c>
      <c r="AV57" s="23" t="str">
        <f>IF(SUMPRODUCT($J$62:AU$62,$J57:AU57)&lt;0.5, "Pending", IF(AU57&lt;0.5, "Complete", "In Progress"))</f>
        <v>Pending</v>
      </c>
      <c r="AW57" s="22">
        <v>0</v>
      </c>
      <c r="AX57" s="22">
        <f t="shared" si="24"/>
        <v>0</v>
      </c>
      <c r="AY57" s="23" t="str">
        <f>IF(SUMPRODUCT($J$62:AX$62,$J57:AX57)&lt;0.5, "Pending", IF(AX57&lt;0.5, "Complete", "In Progress"))</f>
        <v>Pending</v>
      </c>
      <c r="AZ57" s="22">
        <v>0</v>
      </c>
      <c r="BA57" s="22">
        <f t="shared" si="25"/>
        <v>0</v>
      </c>
      <c r="BB57" s="23" t="str">
        <f>IF(SUMPRODUCT($J$62:BA$62,$J57:BA57)&lt;0.5, "Pending", IF(BA57&lt;0.5, "Complete", "In Progress"))</f>
        <v>Pending</v>
      </c>
      <c r="BC57" s="22">
        <v>0</v>
      </c>
      <c r="BD57" s="22">
        <f t="shared" si="26"/>
        <v>0</v>
      </c>
      <c r="BE57" s="23" t="str">
        <f>IF(SUMPRODUCT($J$62:BD$62,$J57:BD57)&lt;0.5, "Pending", IF(BD57&lt;0.5, "Complete", "In Progress"))</f>
        <v>Pending</v>
      </c>
      <c r="BF57" s="22">
        <v>0</v>
      </c>
      <c r="BG57" s="22">
        <f t="shared" si="27"/>
        <v>0</v>
      </c>
      <c r="BH57" s="23" t="str">
        <f>IF(SUMPRODUCT($J$62:BG$62,$J57:BG57)&lt;0.5, "Pending", IF(BG57&lt;0.5, "Complete", "In Progress"))</f>
        <v>Pending</v>
      </c>
      <c r="BI57" s="22">
        <v>0</v>
      </c>
      <c r="BJ57" s="22">
        <f t="shared" si="28"/>
        <v>0</v>
      </c>
      <c r="BK57" s="23" t="str">
        <f>IF(SUMPRODUCT($J$62:BJ$62,$J57:BJ57)&lt;0.5, "Pending", IF(BJ57&lt;0.5, "Complete", "In Progress"))</f>
        <v>Pending</v>
      </c>
      <c r="BL57" s="22">
        <v>0</v>
      </c>
      <c r="BM57" s="22">
        <f t="shared" si="29"/>
        <v>0</v>
      </c>
      <c r="BN57" s="23" t="str">
        <f>IF(SUMPRODUCT($J$62:BM$62,$J57:BM57)&lt;0.5, "Pending", IF(BM57&lt;0.5, "Complete", "In Progress"))</f>
        <v>Pending</v>
      </c>
      <c r="BO57" s="22">
        <v>0</v>
      </c>
      <c r="BP57" s="22">
        <f t="shared" si="30"/>
        <v>0</v>
      </c>
      <c r="BQ57" s="23" t="str">
        <f>IF(SUMPRODUCT($J$62:BP$62,$J57:BP57)&lt;0.5, "Pending", IF(BP57&lt;0.5, "Complete", "In Progress"))</f>
        <v>Pending</v>
      </c>
      <c r="BR57" s="22">
        <v>0</v>
      </c>
      <c r="BS57" s="22">
        <f t="shared" si="31"/>
        <v>0</v>
      </c>
      <c r="BT57" s="23" t="str">
        <f>IF(SUMPRODUCT($J$62:BS$62,$J57:BS57)&lt;0.5, "Pending", IF(BS57&lt;0.5, "Complete", "In Progress"))</f>
        <v>Pending</v>
      </c>
      <c r="BU57" s="22">
        <v>0</v>
      </c>
      <c r="BV57" s="22">
        <f t="shared" si="32"/>
        <v>0</v>
      </c>
      <c r="BW57" s="23" t="str">
        <f>IF(SUMPRODUCT($J$62:BV$62,$J57:BV57)&lt;0.5, "Pending", IF(BV57&lt;0.5, "Complete", "In Progress"))</f>
        <v>Pending</v>
      </c>
      <c r="BX57" s="22">
        <v>0</v>
      </c>
      <c r="BY57" s="22">
        <f t="shared" si="33"/>
        <v>0</v>
      </c>
      <c r="BZ57" s="23" t="str">
        <f>IF(SUMPRODUCT($J$62:BY$62,$J57:BY57)&lt;0.5, "Pending", IF(BY57&lt;0.5, "Complete", "In Progress"))</f>
        <v>Pending</v>
      </c>
      <c r="CA57" s="22">
        <v>0</v>
      </c>
      <c r="CB57" s="22">
        <f t="shared" si="34"/>
        <v>0</v>
      </c>
      <c r="CC57" s="23" t="str">
        <f>IF(SUMPRODUCT($J$62:CB$62,$J57:CB57)&lt;0.5, "Pending", IF(CB57&lt;0.5, "Complete", "In Progress"))</f>
        <v>Pending</v>
      </c>
      <c r="CD57" s="22">
        <v>0</v>
      </c>
      <c r="CE57" s="22">
        <f t="shared" si="35"/>
        <v>0</v>
      </c>
      <c r="CF57" s="23" t="str">
        <f>IF(SUMPRODUCT($J$62:CE$62,$J57:CE57)&lt;0.5, "Pending", IF(CE57&lt;0.5, "Complete", "In Progress"))</f>
        <v>Pending</v>
      </c>
      <c r="CG57" s="22">
        <v>0</v>
      </c>
      <c r="CH57" s="22">
        <f t="shared" si="36"/>
        <v>0</v>
      </c>
      <c r="CI57" s="23" t="str">
        <f>IF(SUMPRODUCT($J$62:CH$62,$J57:CH57)&lt;0.5, "Pending", IF(CH57&lt;0.5, "Complete", "In Progress"))</f>
        <v>Pending</v>
      </c>
      <c r="CJ57" s="22">
        <v>0</v>
      </c>
      <c r="CK57" s="22">
        <f t="shared" si="37"/>
        <v>0</v>
      </c>
      <c r="CL57" s="23" t="str">
        <f>IF(SUMPRODUCT($J$62:CK$62,$J57:CK57)&lt;0.5, "Pending", IF(CK57&lt;0.5, "Complete", "In Progress"))</f>
        <v>Pending</v>
      </c>
      <c r="CM57" s="22">
        <v>0</v>
      </c>
      <c r="CN57" s="22">
        <f t="shared" si="38"/>
        <v>0</v>
      </c>
      <c r="CO57" s="23" t="str">
        <f>IF(SUMPRODUCT($J$62:CN$62,$J57:CN57)&lt;0.5, "Pending", IF(CN57&lt;0.5, "Complete", "In Progress"))</f>
        <v>Pending</v>
      </c>
      <c r="CP57" s="22">
        <v>0</v>
      </c>
      <c r="CQ57" s="22">
        <f t="shared" si="39"/>
        <v>0</v>
      </c>
      <c r="CR57" s="23" t="str">
        <f>IF(SUMPRODUCT($J$62:CQ$62,$J57:CQ57)&lt;0.5, "Pending", IF(CQ57&lt;0.5, "Complete", "In Progress"))</f>
        <v>Pending</v>
      </c>
      <c r="CS57" s="22">
        <v>0</v>
      </c>
      <c r="CT57" s="22">
        <f t="shared" si="40"/>
        <v>0</v>
      </c>
      <c r="CU57" s="23" t="str">
        <f>IF(SUMPRODUCT($J$62:CT$62,$J57:CT57)&lt;0.5, "Pending", IF(CT57&lt;0.5, "Complete", "In Progress"))</f>
        <v>Pending</v>
      </c>
      <c r="CV57" s="22">
        <v>0</v>
      </c>
      <c r="CW57" s="22">
        <f t="shared" si="41"/>
        <v>0</v>
      </c>
      <c r="CX57" s="23" t="str">
        <f>IF(SUMPRODUCT($J$62:CW$62,$J57:CW57)&lt;0.5, "Pending", IF(CW57&lt;0.5, "Complete", "In Progress"))</f>
        <v>Pending</v>
      </c>
      <c r="CY57" s="22">
        <v>0</v>
      </c>
      <c r="CZ57" s="22">
        <f t="shared" si="42"/>
        <v>0</v>
      </c>
      <c r="DA57" s="23" t="str">
        <f>IF(SUMPRODUCT($J$62:CZ$62,$J57:CZ57)&lt;0.5, "Pending", IF(CZ57&lt;0.5, "Complete", "In Progress"))</f>
        <v>Pending</v>
      </c>
      <c r="DB57" s="22">
        <v>0</v>
      </c>
      <c r="DC57" s="22">
        <f t="shared" si="43"/>
        <v>0</v>
      </c>
      <c r="DD57" s="23" t="str">
        <f>IF(SUMPRODUCT($J$62:DC$62,$J57:DC57)&lt;0.5, "Pending", IF(DC57&lt;0.5, "Complete", "In Progress"))</f>
        <v>Pending</v>
      </c>
      <c r="DE57" s="22">
        <v>0</v>
      </c>
      <c r="DF57" s="22">
        <f t="shared" si="44"/>
        <v>0</v>
      </c>
      <c r="DG57" s="23" t="str">
        <f>IF(SUMPRODUCT($J$62:DF$62,$J57:DF57)&lt;0.5, "Pending", IF(DF57&lt;0.5, "Complete", "In Progress"))</f>
        <v>Pending</v>
      </c>
      <c r="DH57" s="22">
        <v>0</v>
      </c>
      <c r="DI57" s="22">
        <f t="shared" si="45"/>
        <v>0</v>
      </c>
      <c r="DJ57" s="23" t="str">
        <f>IF(SUMPRODUCT($J$62:DI$62,$J57:DI57)&lt;0.5, "Pending", IF(DI57&lt;0.5, "Complete", "In Progress"))</f>
        <v>Pending</v>
      </c>
      <c r="DK57" s="22">
        <v>0</v>
      </c>
      <c r="DL57" s="22">
        <f t="shared" si="46"/>
        <v>0</v>
      </c>
      <c r="DM57" s="23" t="str">
        <f>IF(SUMPRODUCT($J$62:DL$62,$J57:DL57)&lt;0.5, "Pending", IF(DL57&lt;0.5, "Complete", "In Progress"))</f>
        <v>Pending</v>
      </c>
      <c r="DN57" s="22">
        <v>0</v>
      </c>
      <c r="DO57" s="22">
        <f t="shared" si="47"/>
        <v>0</v>
      </c>
      <c r="DP57" s="23" t="str">
        <f>IF(SUMPRODUCT($J$62:DO$62,$J57:DO57)&lt;0.5, "Pending", IF(DO57&lt;0.5, "Complete", "In Progress"))</f>
        <v>Pending</v>
      </c>
      <c r="DQ57" s="22">
        <v>0</v>
      </c>
      <c r="DR57" s="22">
        <f t="shared" si="48"/>
        <v>0</v>
      </c>
      <c r="DS57" s="23" t="str">
        <f>IF(SUMPRODUCT($J$62:DR$62,$J57:DR57)&lt;0.5, "Pending", IF(DR57&lt;0.5, "Complete", "In Progress"))</f>
        <v>Pending</v>
      </c>
      <c r="DT57" s="22">
        <v>0</v>
      </c>
      <c r="DU57" s="22">
        <f t="shared" si="49"/>
        <v>0</v>
      </c>
      <c r="DV57" s="23" t="str">
        <f>IF(SUMPRODUCT($J$62:DU$62,$J57:DU57)&lt;0.5, "Pending", IF(DU57&lt;0.5, "Complete", "In Progress"))</f>
        <v>Pending</v>
      </c>
      <c r="DW57" s="22">
        <v>0</v>
      </c>
      <c r="DX57" s="22">
        <f t="shared" si="50"/>
        <v>0</v>
      </c>
      <c r="DY57" s="23" t="str">
        <f>IF(SUMPRODUCT($J$62:DX$62,$J57:DX57)&lt;0.5, "Pending", IF(DX57&lt;0.5, "Complete", "In Progress"))</f>
        <v>Pending</v>
      </c>
      <c r="DZ57" s="24"/>
      <c r="EA57" s="25">
        <f>SUMPRODUCT($H$62:DG$62,$H57:DG57)</f>
        <v>0</v>
      </c>
    </row>
    <row r="58" spans="1:131" x14ac:dyDescent="0.25">
      <c r="A58" s="16" t="s">
        <v>124</v>
      </c>
      <c r="B58" s="16" t="s">
        <v>152</v>
      </c>
      <c r="C58" s="16" t="s">
        <v>121</v>
      </c>
      <c r="D58" s="17">
        <v>18</v>
      </c>
      <c r="E58" s="199" t="s">
        <v>163</v>
      </c>
      <c r="F58" s="18" t="s">
        <v>129</v>
      </c>
      <c r="G58" s="19" t="str">
        <f t="shared" ca="1" si="0"/>
        <v>Pending</v>
      </c>
      <c r="H58" s="20">
        <v>1</v>
      </c>
      <c r="I58" s="21">
        <v>0</v>
      </c>
      <c r="J58" s="22">
        <v>0</v>
      </c>
      <c r="K58" s="22">
        <f t="shared" si="11"/>
        <v>0</v>
      </c>
      <c r="L58" s="23" t="str">
        <f>IF(SUMPRODUCT($J$62:K$62,$J58:K58)&lt;0.5, "Pending", IF(K58&lt;0.5, "Complete", "In Progress"))</f>
        <v>Pending</v>
      </c>
      <c r="M58" s="22">
        <v>0</v>
      </c>
      <c r="N58" s="22">
        <f t="shared" si="12"/>
        <v>0</v>
      </c>
      <c r="O58" s="23" t="str">
        <f>IF(SUMPRODUCT($J$62:N$62,$J58:N58)&lt;0.5, "Pending", IF(N58&lt;0.5, "Complete", "In Progress"))</f>
        <v>Pending</v>
      </c>
      <c r="P58" s="22">
        <v>0</v>
      </c>
      <c r="Q58" s="22">
        <f t="shared" si="13"/>
        <v>0</v>
      </c>
      <c r="R58" s="23" t="str">
        <f>IF(SUMPRODUCT($J$62:Q$62,$J58:Q58)&lt;0.5, "Pending", IF(Q58&lt;0.5, "Complete", "In Progress"))</f>
        <v>Pending</v>
      </c>
      <c r="S58" s="22">
        <v>0</v>
      </c>
      <c r="T58" s="22">
        <f t="shared" si="14"/>
        <v>0</v>
      </c>
      <c r="U58" s="23" t="str">
        <f>IF(SUMPRODUCT($J$62:T$62,$J58:T58)&lt;0.5, "Pending", IF(T58&lt;0.5, "Complete", "In Progress"))</f>
        <v>Pending</v>
      </c>
      <c r="V58" s="22">
        <v>0</v>
      </c>
      <c r="W58" s="22">
        <f t="shared" si="15"/>
        <v>0</v>
      </c>
      <c r="X58" s="23" t="str">
        <f>IF(SUMPRODUCT($J$62:W$62,$J58:W58)&lt;0.5, "Pending", IF(W58&lt;0.5, "Complete", "In Progress"))</f>
        <v>Pending</v>
      </c>
      <c r="Y58" s="22">
        <v>0</v>
      </c>
      <c r="Z58" s="22">
        <f t="shared" si="16"/>
        <v>0</v>
      </c>
      <c r="AA58" s="23" t="str">
        <f>IF(SUMPRODUCT($J$62:Z$62,$J58:Z58)&lt;0.5, "Pending", IF(Z58&lt;0.5, "Complete", "In Progress"))</f>
        <v>Pending</v>
      </c>
      <c r="AB58" s="22">
        <v>0</v>
      </c>
      <c r="AC58" s="22">
        <f t="shared" si="17"/>
        <v>0</v>
      </c>
      <c r="AD58" s="23" t="str">
        <f>IF(SUMPRODUCT($J$62:AC$62,$J58:AC58)&lt;0.5, "Pending", IF(AC58&lt;0.5, "Complete", "In Progress"))</f>
        <v>Pending</v>
      </c>
      <c r="AE58" s="22">
        <v>0</v>
      </c>
      <c r="AF58" s="22">
        <f t="shared" si="18"/>
        <v>0</v>
      </c>
      <c r="AG58" s="23" t="str">
        <f>IF(SUMPRODUCT($J$62:AF$62,$J58:AF58)&lt;0.5, "Pending", IF(AF58&lt;0.5, "Complete", "In Progress"))</f>
        <v>Pending</v>
      </c>
      <c r="AH58" s="22">
        <v>0</v>
      </c>
      <c r="AI58" s="22">
        <f t="shared" si="19"/>
        <v>0</v>
      </c>
      <c r="AJ58" s="23" t="str">
        <f>IF(SUMPRODUCT($J$62:AI$62,$J58:AI58)&lt;0.5, "Pending", IF(AI58&lt;0.5, "Complete", "In Progress"))</f>
        <v>Pending</v>
      </c>
      <c r="AK58" s="22">
        <v>0</v>
      </c>
      <c r="AL58" s="22">
        <f t="shared" si="20"/>
        <v>0</v>
      </c>
      <c r="AM58" s="23" t="str">
        <f>IF(SUMPRODUCT($J$62:AL$62,$J58:AL58)&lt;0.5, "Pending", IF(AL58&lt;0.5, "Complete", "In Progress"))</f>
        <v>Pending</v>
      </c>
      <c r="AN58" s="22">
        <v>0</v>
      </c>
      <c r="AO58" s="22">
        <f t="shared" si="21"/>
        <v>0</v>
      </c>
      <c r="AP58" s="23" t="str">
        <f>IF(SUMPRODUCT($J$62:AO$62,$J58:AO58)&lt;0.5, "Pending", IF(AO58&lt;0.5, "Complete", "In Progress"))</f>
        <v>Pending</v>
      </c>
      <c r="AQ58" s="22">
        <v>0</v>
      </c>
      <c r="AR58" s="22">
        <f t="shared" si="22"/>
        <v>0</v>
      </c>
      <c r="AS58" s="23" t="str">
        <f>IF(SUMPRODUCT($J$62:AR$62,$J58:AR58)&lt;0.5, "Pending", IF(AR58&lt;0.5, "Complete", "In Progress"))</f>
        <v>Pending</v>
      </c>
      <c r="AT58" s="22">
        <v>0</v>
      </c>
      <c r="AU58" s="22">
        <f t="shared" si="23"/>
        <v>0</v>
      </c>
      <c r="AV58" s="23" t="str">
        <f>IF(SUMPRODUCT($J$62:AU$62,$J58:AU58)&lt;0.5, "Pending", IF(AU58&lt;0.5, "Complete", "In Progress"))</f>
        <v>Pending</v>
      </c>
      <c r="AW58" s="22">
        <v>0</v>
      </c>
      <c r="AX58" s="22">
        <f t="shared" si="24"/>
        <v>0</v>
      </c>
      <c r="AY58" s="23" t="str">
        <f>IF(SUMPRODUCT($J$62:AX$62,$J58:AX58)&lt;0.5, "Pending", IF(AX58&lt;0.5, "Complete", "In Progress"))</f>
        <v>Pending</v>
      </c>
      <c r="AZ58" s="22">
        <v>0</v>
      </c>
      <c r="BA58" s="22">
        <f t="shared" si="25"/>
        <v>0</v>
      </c>
      <c r="BB58" s="23" t="str">
        <f>IF(SUMPRODUCT($J$62:BA$62,$J58:BA58)&lt;0.5, "Pending", IF(BA58&lt;0.5, "Complete", "In Progress"))</f>
        <v>Pending</v>
      </c>
      <c r="BC58" s="22">
        <v>0</v>
      </c>
      <c r="BD58" s="22">
        <f t="shared" si="26"/>
        <v>0</v>
      </c>
      <c r="BE58" s="23" t="str">
        <f>IF(SUMPRODUCT($J$62:BD$62,$J58:BD58)&lt;0.5, "Pending", IF(BD58&lt;0.5, "Complete", "In Progress"))</f>
        <v>Pending</v>
      </c>
      <c r="BF58" s="22">
        <v>0</v>
      </c>
      <c r="BG58" s="22">
        <f t="shared" si="27"/>
        <v>0</v>
      </c>
      <c r="BH58" s="23" t="str">
        <f>IF(SUMPRODUCT($J$62:BG$62,$J58:BG58)&lt;0.5, "Pending", IF(BG58&lt;0.5, "Complete", "In Progress"))</f>
        <v>Pending</v>
      </c>
      <c r="BI58" s="22">
        <v>0</v>
      </c>
      <c r="BJ58" s="22">
        <f t="shared" si="28"/>
        <v>0</v>
      </c>
      <c r="BK58" s="23" t="str">
        <f>IF(SUMPRODUCT($J$62:BJ$62,$J58:BJ58)&lt;0.5, "Pending", IF(BJ58&lt;0.5, "Complete", "In Progress"))</f>
        <v>Pending</v>
      </c>
      <c r="BL58" s="22">
        <v>0</v>
      </c>
      <c r="BM58" s="22">
        <f t="shared" si="29"/>
        <v>0</v>
      </c>
      <c r="BN58" s="23" t="str">
        <f>IF(SUMPRODUCT($J$62:BM$62,$J58:BM58)&lt;0.5, "Pending", IF(BM58&lt;0.5, "Complete", "In Progress"))</f>
        <v>Pending</v>
      </c>
      <c r="BO58" s="22">
        <v>0</v>
      </c>
      <c r="BP58" s="22">
        <f t="shared" si="30"/>
        <v>0</v>
      </c>
      <c r="BQ58" s="23" t="str">
        <f>IF(SUMPRODUCT($J$62:BP$62,$J58:BP58)&lt;0.5, "Pending", IF(BP58&lt;0.5, "Complete", "In Progress"))</f>
        <v>Pending</v>
      </c>
      <c r="BR58" s="22">
        <v>0</v>
      </c>
      <c r="BS58" s="22">
        <f t="shared" si="31"/>
        <v>0</v>
      </c>
      <c r="BT58" s="23" t="str">
        <f>IF(SUMPRODUCT($J$62:BS$62,$J58:BS58)&lt;0.5, "Pending", IF(BS58&lt;0.5, "Complete", "In Progress"))</f>
        <v>Pending</v>
      </c>
      <c r="BU58" s="22">
        <v>0</v>
      </c>
      <c r="BV58" s="22">
        <f t="shared" si="32"/>
        <v>0</v>
      </c>
      <c r="BW58" s="23" t="str">
        <f>IF(SUMPRODUCT($J$62:BV$62,$J58:BV58)&lt;0.5, "Pending", IF(BV58&lt;0.5, "Complete", "In Progress"))</f>
        <v>Pending</v>
      </c>
      <c r="BX58" s="22">
        <v>0</v>
      </c>
      <c r="BY58" s="22">
        <f t="shared" si="33"/>
        <v>0</v>
      </c>
      <c r="BZ58" s="23" t="str">
        <f>IF(SUMPRODUCT($J$62:BY$62,$J58:BY58)&lt;0.5, "Pending", IF(BY58&lt;0.5, "Complete", "In Progress"))</f>
        <v>Pending</v>
      </c>
      <c r="CA58" s="22">
        <v>0</v>
      </c>
      <c r="CB58" s="22">
        <f t="shared" si="34"/>
        <v>0</v>
      </c>
      <c r="CC58" s="23" t="str">
        <f>IF(SUMPRODUCT($J$62:CB$62,$J58:CB58)&lt;0.5, "Pending", IF(CB58&lt;0.5, "Complete", "In Progress"))</f>
        <v>Pending</v>
      </c>
      <c r="CD58" s="22">
        <v>0</v>
      </c>
      <c r="CE58" s="22">
        <f t="shared" si="35"/>
        <v>0</v>
      </c>
      <c r="CF58" s="23" t="str">
        <f>IF(SUMPRODUCT($J$62:CE$62,$J58:CE58)&lt;0.5, "Pending", IF(CE58&lt;0.5, "Complete", "In Progress"))</f>
        <v>Pending</v>
      </c>
      <c r="CG58" s="22">
        <v>0</v>
      </c>
      <c r="CH58" s="22">
        <f t="shared" si="36"/>
        <v>0</v>
      </c>
      <c r="CI58" s="23" t="str">
        <f>IF(SUMPRODUCT($J$62:CH$62,$J58:CH58)&lt;0.5, "Pending", IF(CH58&lt;0.5, "Complete", "In Progress"))</f>
        <v>Pending</v>
      </c>
      <c r="CJ58" s="22">
        <v>0</v>
      </c>
      <c r="CK58" s="22">
        <f t="shared" si="37"/>
        <v>0</v>
      </c>
      <c r="CL58" s="23" t="str">
        <f>IF(SUMPRODUCT($J$62:CK$62,$J58:CK58)&lt;0.5, "Pending", IF(CK58&lt;0.5, "Complete", "In Progress"))</f>
        <v>Pending</v>
      </c>
      <c r="CM58" s="22">
        <v>0</v>
      </c>
      <c r="CN58" s="22">
        <f t="shared" si="38"/>
        <v>0</v>
      </c>
      <c r="CO58" s="23" t="str">
        <f>IF(SUMPRODUCT($J$62:CN$62,$J58:CN58)&lt;0.5, "Pending", IF(CN58&lt;0.5, "Complete", "In Progress"))</f>
        <v>Pending</v>
      </c>
      <c r="CP58" s="22">
        <v>0</v>
      </c>
      <c r="CQ58" s="22">
        <f t="shared" si="39"/>
        <v>0</v>
      </c>
      <c r="CR58" s="23" t="str">
        <f>IF(SUMPRODUCT($J$62:CQ$62,$J58:CQ58)&lt;0.5, "Pending", IF(CQ58&lt;0.5, "Complete", "In Progress"))</f>
        <v>Pending</v>
      </c>
      <c r="CS58" s="22">
        <v>0</v>
      </c>
      <c r="CT58" s="22">
        <f t="shared" si="40"/>
        <v>0</v>
      </c>
      <c r="CU58" s="23" t="str">
        <f>IF(SUMPRODUCT($J$62:CT$62,$J58:CT58)&lt;0.5, "Pending", IF(CT58&lt;0.5, "Complete", "In Progress"))</f>
        <v>Pending</v>
      </c>
      <c r="CV58" s="22">
        <v>0</v>
      </c>
      <c r="CW58" s="22">
        <f t="shared" si="41"/>
        <v>0</v>
      </c>
      <c r="CX58" s="23" t="str">
        <f>IF(SUMPRODUCT($J$62:CW$62,$J58:CW58)&lt;0.5, "Pending", IF(CW58&lt;0.5, "Complete", "In Progress"))</f>
        <v>Pending</v>
      </c>
      <c r="CY58" s="22">
        <v>0</v>
      </c>
      <c r="CZ58" s="22">
        <f t="shared" si="42"/>
        <v>0</v>
      </c>
      <c r="DA58" s="23" t="str">
        <f>IF(SUMPRODUCT($J$62:CZ$62,$J58:CZ58)&lt;0.5, "Pending", IF(CZ58&lt;0.5, "Complete", "In Progress"))</f>
        <v>Pending</v>
      </c>
      <c r="DB58" s="22">
        <v>0</v>
      </c>
      <c r="DC58" s="22">
        <f t="shared" si="43"/>
        <v>0</v>
      </c>
      <c r="DD58" s="23" t="str">
        <f>IF(SUMPRODUCT($J$62:DC$62,$J58:DC58)&lt;0.5, "Pending", IF(DC58&lt;0.5, "Complete", "In Progress"))</f>
        <v>Pending</v>
      </c>
      <c r="DE58" s="22">
        <v>0</v>
      </c>
      <c r="DF58" s="22">
        <f t="shared" si="44"/>
        <v>0</v>
      </c>
      <c r="DG58" s="23" t="str">
        <f>IF(SUMPRODUCT($J$62:DF$62,$J58:DF58)&lt;0.5, "Pending", IF(DF58&lt;0.5, "Complete", "In Progress"))</f>
        <v>Pending</v>
      </c>
      <c r="DH58" s="22">
        <v>0</v>
      </c>
      <c r="DI58" s="22">
        <f t="shared" si="45"/>
        <v>0</v>
      </c>
      <c r="DJ58" s="23" t="str">
        <f>IF(SUMPRODUCT($J$62:DI$62,$J58:DI58)&lt;0.5, "Pending", IF(DI58&lt;0.5, "Complete", "In Progress"))</f>
        <v>Pending</v>
      </c>
      <c r="DK58" s="22">
        <v>0</v>
      </c>
      <c r="DL58" s="22">
        <f t="shared" si="46"/>
        <v>0</v>
      </c>
      <c r="DM58" s="23" t="str">
        <f>IF(SUMPRODUCT($J$62:DL$62,$J58:DL58)&lt;0.5, "Pending", IF(DL58&lt;0.5, "Complete", "In Progress"))</f>
        <v>Pending</v>
      </c>
      <c r="DN58" s="22">
        <v>0</v>
      </c>
      <c r="DO58" s="22">
        <f t="shared" si="47"/>
        <v>0</v>
      </c>
      <c r="DP58" s="23" t="str">
        <f>IF(SUMPRODUCT($J$62:DO$62,$J58:DO58)&lt;0.5, "Pending", IF(DO58&lt;0.5, "Complete", "In Progress"))</f>
        <v>Pending</v>
      </c>
      <c r="DQ58" s="22">
        <v>0</v>
      </c>
      <c r="DR58" s="22">
        <f t="shared" si="48"/>
        <v>0</v>
      </c>
      <c r="DS58" s="23" t="str">
        <f>IF(SUMPRODUCT($J$62:DR$62,$J58:DR58)&lt;0.5, "Pending", IF(DR58&lt;0.5, "Complete", "In Progress"))</f>
        <v>Pending</v>
      </c>
      <c r="DT58" s="22">
        <v>0</v>
      </c>
      <c r="DU58" s="22">
        <f t="shared" si="49"/>
        <v>0</v>
      </c>
      <c r="DV58" s="23" t="str">
        <f>IF(SUMPRODUCT($J$62:DU$62,$J58:DU58)&lt;0.5, "Pending", IF(DU58&lt;0.5, "Complete", "In Progress"))</f>
        <v>Pending</v>
      </c>
      <c r="DW58" s="22">
        <v>0</v>
      </c>
      <c r="DX58" s="22">
        <f t="shared" si="50"/>
        <v>0</v>
      </c>
      <c r="DY58" s="23" t="str">
        <f>IF(SUMPRODUCT($J$62:DX$62,$J58:DX58)&lt;0.5, "Pending", IF(DX58&lt;0.5, "Complete", "In Progress"))</f>
        <v>Pending</v>
      </c>
      <c r="DZ58" s="24"/>
      <c r="EA58" s="25">
        <f>SUMPRODUCT($H$62:DG$62,$H58:DG58)</f>
        <v>0</v>
      </c>
    </row>
    <row r="59" spans="1:131" x14ac:dyDescent="0.25">
      <c r="A59" s="16" t="s">
        <v>124</v>
      </c>
      <c r="B59" s="16" t="s">
        <v>152</v>
      </c>
      <c r="C59" s="16" t="s">
        <v>121</v>
      </c>
      <c r="D59" s="17">
        <v>18</v>
      </c>
      <c r="E59" s="199" t="s">
        <v>163</v>
      </c>
      <c r="F59" s="18" t="s">
        <v>134</v>
      </c>
      <c r="G59" s="19" t="str">
        <f t="shared" ca="1" si="0"/>
        <v>Pending</v>
      </c>
      <c r="H59" s="20">
        <v>1</v>
      </c>
      <c r="I59" s="21">
        <v>0</v>
      </c>
      <c r="J59" s="22">
        <v>0</v>
      </c>
      <c r="K59" s="22">
        <f t="shared" si="11"/>
        <v>0</v>
      </c>
      <c r="L59" s="23" t="str">
        <f>IF(SUMPRODUCT($J$62:K$62,$J59:K59)&lt;0.5, "Pending", IF(K59&lt;0.5, "Complete", "In Progress"))</f>
        <v>Pending</v>
      </c>
      <c r="M59" s="22">
        <v>0</v>
      </c>
      <c r="N59" s="22">
        <f t="shared" si="12"/>
        <v>0</v>
      </c>
      <c r="O59" s="23" t="str">
        <f>IF(SUMPRODUCT($J$62:N$62,$J59:N59)&lt;0.5, "Pending", IF(N59&lt;0.5, "Complete", "In Progress"))</f>
        <v>Pending</v>
      </c>
      <c r="P59" s="22">
        <v>0</v>
      </c>
      <c r="Q59" s="22">
        <f t="shared" si="13"/>
        <v>0</v>
      </c>
      <c r="R59" s="23" t="str">
        <f>IF(SUMPRODUCT($J$62:Q$62,$J59:Q59)&lt;0.5, "Pending", IF(Q59&lt;0.5, "Complete", "In Progress"))</f>
        <v>Pending</v>
      </c>
      <c r="S59" s="22">
        <v>0</v>
      </c>
      <c r="T59" s="22">
        <f t="shared" si="14"/>
        <v>0</v>
      </c>
      <c r="U59" s="23" t="str">
        <f>IF(SUMPRODUCT($J$62:T$62,$J59:T59)&lt;0.5, "Pending", IF(T59&lt;0.5, "Complete", "In Progress"))</f>
        <v>Pending</v>
      </c>
      <c r="V59" s="22">
        <v>0</v>
      </c>
      <c r="W59" s="22">
        <f t="shared" si="15"/>
        <v>0</v>
      </c>
      <c r="X59" s="23" t="str">
        <f>IF(SUMPRODUCT($J$62:W$62,$J59:W59)&lt;0.5, "Pending", IF(W59&lt;0.5, "Complete", "In Progress"))</f>
        <v>Pending</v>
      </c>
      <c r="Y59" s="22">
        <v>0</v>
      </c>
      <c r="Z59" s="22">
        <f t="shared" si="16"/>
        <v>0</v>
      </c>
      <c r="AA59" s="23" t="str">
        <f>IF(SUMPRODUCT($J$62:Z$62,$J59:Z59)&lt;0.5, "Pending", IF(Z59&lt;0.5, "Complete", "In Progress"))</f>
        <v>Pending</v>
      </c>
      <c r="AB59" s="22">
        <v>0</v>
      </c>
      <c r="AC59" s="22">
        <f t="shared" si="17"/>
        <v>0</v>
      </c>
      <c r="AD59" s="23" t="str">
        <f>IF(SUMPRODUCT($J$62:AC$62,$J59:AC59)&lt;0.5, "Pending", IF(AC59&lt;0.5, "Complete", "In Progress"))</f>
        <v>Pending</v>
      </c>
      <c r="AE59" s="22">
        <v>0</v>
      </c>
      <c r="AF59" s="22">
        <f t="shared" si="18"/>
        <v>0</v>
      </c>
      <c r="AG59" s="23" t="str">
        <f>IF(SUMPRODUCT($J$62:AF$62,$J59:AF59)&lt;0.5, "Pending", IF(AF59&lt;0.5, "Complete", "In Progress"))</f>
        <v>Pending</v>
      </c>
      <c r="AH59" s="22">
        <v>0</v>
      </c>
      <c r="AI59" s="22">
        <f t="shared" si="19"/>
        <v>0</v>
      </c>
      <c r="AJ59" s="23" t="str">
        <f>IF(SUMPRODUCT($J$62:AI$62,$J59:AI59)&lt;0.5, "Pending", IF(AI59&lt;0.5, "Complete", "In Progress"))</f>
        <v>Pending</v>
      </c>
      <c r="AK59" s="22">
        <v>0</v>
      </c>
      <c r="AL59" s="22">
        <f t="shared" si="20"/>
        <v>0</v>
      </c>
      <c r="AM59" s="23" t="str">
        <f>IF(SUMPRODUCT($J$62:AL$62,$J59:AL59)&lt;0.5, "Pending", IF(AL59&lt;0.5, "Complete", "In Progress"))</f>
        <v>Pending</v>
      </c>
      <c r="AN59" s="22">
        <v>0</v>
      </c>
      <c r="AO59" s="22">
        <f t="shared" si="21"/>
        <v>0</v>
      </c>
      <c r="AP59" s="23" t="str">
        <f>IF(SUMPRODUCT($J$62:AO$62,$J59:AO59)&lt;0.5, "Pending", IF(AO59&lt;0.5, "Complete", "In Progress"))</f>
        <v>Pending</v>
      </c>
      <c r="AQ59" s="22">
        <v>0</v>
      </c>
      <c r="AR59" s="22">
        <f t="shared" si="22"/>
        <v>0</v>
      </c>
      <c r="AS59" s="23" t="str">
        <f>IF(SUMPRODUCT($J$62:AR$62,$J59:AR59)&lt;0.5, "Pending", IF(AR59&lt;0.5, "Complete", "In Progress"))</f>
        <v>Pending</v>
      </c>
      <c r="AT59" s="22">
        <v>0</v>
      </c>
      <c r="AU59" s="22">
        <f t="shared" si="23"/>
        <v>0</v>
      </c>
      <c r="AV59" s="23" t="str">
        <f>IF(SUMPRODUCT($J$62:AU$62,$J59:AU59)&lt;0.5, "Pending", IF(AU59&lt;0.5, "Complete", "In Progress"))</f>
        <v>Pending</v>
      </c>
      <c r="AW59" s="22">
        <v>0</v>
      </c>
      <c r="AX59" s="22">
        <f t="shared" si="24"/>
        <v>0</v>
      </c>
      <c r="AY59" s="23" t="str">
        <f>IF(SUMPRODUCT($J$62:AX$62,$J59:AX59)&lt;0.5, "Pending", IF(AX59&lt;0.5, "Complete", "In Progress"))</f>
        <v>Pending</v>
      </c>
      <c r="AZ59" s="22">
        <v>0</v>
      </c>
      <c r="BA59" s="22">
        <f t="shared" si="25"/>
        <v>0</v>
      </c>
      <c r="BB59" s="23" t="str">
        <f>IF(SUMPRODUCT($J$62:BA$62,$J59:BA59)&lt;0.5, "Pending", IF(BA59&lt;0.5, "Complete", "In Progress"))</f>
        <v>Pending</v>
      </c>
      <c r="BC59" s="22">
        <v>0</v>
      </c>
      <c r="BD59" s="22">
        <f t="shared" si="26"/>
        <v>0</v>
      </c>
      <c r="BE59" s="23" t="str">
        <f>IF(SUMPRODUCT($J$62:BD$62,$J59:BD59)&lt;0.5, "Pending", IF(BD59&lt;0.5, "Complete", "In Progress"))</f>
        <v>Pending</v>
      </c>
      <c r="BF59" s="22">
        <v>0</v>
      </c>
      <c r="BG59" s="22">
        <f t="shared" si="27"/>
        <v>0</v>
      </c>
      <c r="BH59" s="23" t="str">
        <f>IF(SUMPRODUCT($J$62:BG$62,$J59:BG59)&lt;0.5, "Pending", IF(BG59&lt;0.5, "Complete", "In Progress"))</f>
        <v>Pending</v>
      </c>
      <c r="BI59" s="22">
        <v>0</v>
      </c>
      <c r="BJ59" s="22">
        <f t="shared" si="28"/>
        <v>0</v>
      </c>
      <c r="BK59" s="23" t="str">
        <f>IF(SUMPRODUCT($J$62:BJ$62,$J59:BJ59)&lt;0.5, "Pending", IF(BJ59&lt;0.5, "Complete", "In Progress"))</f>
        <v>Pending</v>
      </c>
      <c r="BL59" s="22">
        <v>0</v>
      </c>
      <c r="BM59" s="22">
        <f t="shared" si="29"/>
        <v>0</v>
      </c>
      <c r="BN59" s="23" t="str">
        <f>IF(SUMPRODUCT($J$62:BM$62,$J59:BM59)&lt;0.5, "Pending", IF(BM59&lt;0.5, "Complete", "In Progress"))</f>
        <v>Pending</v>
      </c>
      <c r="BO59" s="22">
        <v>0</v>
      </c>
      <c r="BP59" s="22">
        <f t="shared" si="30"/>
        <v>0</v>
      </c>
      <c r="BQ59" s="23" t="str">
        <f>IF(SUMPRODUCT($J$62:BP$62,$J59:BP59)&lt;0.5, "Pending", IF(BP59&lt;0.5, "Complete", "In Progress"))</f>
        <v>Pending</v>
      </c>
      <c r="BR59" s="22">
        <v>0</v>
      </c>
      <c r="BS59" s="22">
        <f t="shared" si="31"/>
        <v>0</v>
      </c>
      <c r="BT59" s="23" t="str">
        <f>IF(SUMPRODUCT($J$62:BS$62,$J59:BS59)&lt;0.5, "Pending", IF(BS59&lt;0.5, "Complete", "In Progress"))</f>
        <v>Pending</v>
      </c>
      <c r="BU59" s="22">
        <v>0</v>
      </c>
      <c r="BV59" s="22">
        <f t="shared" si="32"/>
        <v>0</v>
      </c>
      <c r="BW59" s="23" t="str">
        <f>IF(SUMPRODUCT($J$62:BV$62,$J59:BV59)&lt;0.5, "Pending", IF(BV59&lt;0.5, "Complete", "In Progress"))</f>
        <v>Pending</v>
      </c>
      <c r="BX59" s="22">
        <v>0</v>
      </c>
      <c r="BY59" s="22">
        <f t="shared" si="33"/>
        <v>0</v>
      </c>
      <c r="BZ59" s="23" t="str">
        <f>IF(SUMPRODUCT($J$62:BY$62,$J59:BY59)&lt;0.5, "Pending", IF(BY59&lt;0.5, "Complete", "In Progress"))</f>
        <v>Pending</v>
      </c>
      <c r="CA59" s="22">
        <v>0</v>
      </c>
      <c r="CB59" s="22">
        <f t="shared" si="34"/>
        <v>0</v>
      </c>
      <c r="CC59" s="23" t="str">
        <f>IF(SUMPRODUCT($J$62:CB$62,$J59:CB59)&lt;0.5, "Pending", IF(CB59&lt;0.5, "Complete", "In Progress"))</f>
        <v>Pending</v>
      </c>
      <c r="CD59" s="22">
        <v>0</v>
      </c>
      <c r="CE59" s="22">
        <f t="shared" si="35"/>
        <v>0</v>
      </c>
      <c r="CF59" s="23" t="str">
        <f>IF(SUMPRODUCT($J$62:CE$62,$J59:CE59)&lt;0.5, "Pending", IF(CE59&lt;0.5, "Complete", "In Progress"))</f>
        <v>Pending</v>
      </c>
      <c r="CG59" s="22">
        <v>0</v>
      </c>
      <c r="CH59" s="22">
        <f t="shared" si="36"/>
        <v>0</v>
      </c>
      <c r="CI59" s="23" t="str">
        <f>IF(SUMPRODUCT($J$62:CH$62,$J59:CH59)&lt;0.5, "Pending", IF(CH59&lt;0.5, "Complete", "In Progress"))</f>
        <v>Pending</v>
      </c>
      <c r="CJ59" s="22">
        <v>0</v>
      </c>
      <c r="CK59" s="22">
        <f t="shared" si="37"/>
        <v>0</v>
      </c>
      <c r="CL59" s="23" t="str">
        <f>IF(SUMPRODUCT($J$62:CK$62,$J59:CK59)&lt;0.5, "Pending", IF(CK59&lt;0.5, "Complete", "In Progress"))</f>
        <v>Pending</v>
      </c>
      <c r="CM59" s="22">
        <v>0</v>
      </c>
      <c r="CN59" s="22">
        <f t="shared" si="38"/>
        <v>0</v>
      </c>
      <c r="CO59" s="23" t="str">
        <f>IF(SUMPRODUCT($J$62:CN$62,$J59:CN59)&lt;0.5, "Pending", IF(CN59&lt;0.5, "Complete", "In Progress"))</f>
        <v>Pending</v>
      </c>
      <c r="CP59" s="22">
        <v>0</v>
      </c>
      <c r="CQ59" s="22">
        <f t="shared" si="39"/>
        <v>0</v>
      </c>
      <c r="CR59" s="23" t="str">
        <f>IF(SUMPRODUCT($J$62:CQ$62,$J59:CQ59)&lt;0.5, "Pending", IF(CQ59&lt;0.5, "Complete", "In Progress"))</f>
        <v>Pending</v>
      </c>
      <c r="CS59" s="22">
        <v>0</v>
      </c>
      <c r="CT59" s="22">
        <f t="shared" si="40"/>
        <v>0</v>
      </c>
      <c r="CU59" s="23" t="str">
        <f>IF(SUMPRODUCT($J$62:CT$62,$J59:CT59)&lt;0.5, "Pending", IF(CT59&lt;0.5, "Complete", "In Progress"))</f>
        <v>Pending</v>
      </c>
      <c r="CV59" s="22">
        <v>0</v>
      </c>
      <c r="CW59" s="22">
        <f t="shared" si="41"/>
        <v>0</v>
      </c>
      <c r="CX59" s="23" t="str">
        <f>IF(SUMPRODUCT($J$62:CW$62,$J59:CW59)&lt;0.5, "Pending", IF(CW59&lt;0.5, "Complete", "In Progress"))</f>
        <v>Pending</v>
      </c>
      <c r="CY59" s="22">
        <v>0</v>
      </c>
      <c r="CZ59" s="22">
        <f t="shared" si="42"/>
        <v>0</v>
      </c>
      <c r="DA59" s="23" t="str">
        <f>IF(SUMPRODUCT($J$62:CZ$62,$J59:CZ59)&lt;0.5, "Pending", IF(CZ59&lt;0.5, "Complete", "In Progress"))</f>
        <v>Pending</v>
      </c>
      <c r="DB59" s="22">
        <v>0</v>
      </c>
      <c r="DC59" s="22">
        <f t="shared" si="43"/>
        <v>0</v>
      </c>
      <c r="DD59" s="23" t="str">
        <f>IF(SUMPRODUCT($J$62:DC$62,$J59:DC59)&lt;0.5, "Pending", IF(DC59&lt;0.5, "Complete", "In Progress"))</f>
        <v>Pending</v>
      </c>
      <c r="DE59" s="22">
        <v>0</v>
      </c>
      <c r="DF59" s="22">
        <f t="shared" si="44"/>
        <v>0</v>
      </c>
      <c r="DG59" s="23" t="str">
        <f>IF(SUMPRODUCT($J$62:DF$62,$J59:DF59)&lt;0.5, "Pending", IF(DF59&lt;0.5, "Complete", "In Progress"))</f>
        <v>Pending</v>
      </c>
      <c r="DH59" s="22">
        <v>0</v>
      </c>
      <c r="DI59" s="22">
        <f t="shared" si="45"/>
        <v>0</v>
      </c>
      <c r="DJ59" s="23" t="str">
        <f>IF(SUMPRODUCT($J$62:DI$62,$J59:DI59)&lt;0.5, "Pending", IF(DI59&lt;0.5, "Complete", "In Progress"))</f>
        <v>Pending</v>
      </c>
      <c r="DK59" s="22">
        <v>0</v>
      </c>
      <c r="DL59" s="22">
        <f t="shared" si="46"/>
        <v>0</v>
      </c>
      <c r="DM59" s="23" t="str">
        <f>IF(SUMPRODUCT($J$62:DL$62,$J59:DL59)&lt;0.5, "Pending", IF(DL59&lt;0.5, "Complete", "In Progress"))</f>
        <v>Pending</v>
      </c>
      <c r="DN59" s="22">
        <v>0</v>
      </c>
      <c r="DO59" s="22">
        <f t="shared" si="47"/>
        <v>0</v>
      </c>
      <c r="DP59" s="23" t="str">
        <f>IF(SUMPRODUCT($J$62:DO$62,$J59:DO59)&lt;0.5, "Pending", IF(DO59&lt;0.5, "Complete", "In Progress"))</f>
        <v>Pending</v>
      </c>
      <c r="DQ59" s="22">
        <v>0</v>
      </c>
      <c r="DR59" s="22">
        <f t="shared" si="48"/>
        <v>0</v>
      </c>
      <c r="DS59" s="23" t="str">
        <f>IF(SUMPRODUCT($J$62:DR$62,$J59:DR59)&lt;0.5, "Pending", IF(DR59&lt;0.5, "Complete", "In Progress"))</f>
        <v>Pending</v>
      </c>
      <c r="DT59" s="22">
        <v>0</v>
      </c>
      <c r="DU59" s="22">
        <f t="shared" si="49"/>
        <v>0</v>
      </c>
      <c r="DV59" s="23" t="str">
        <f>IF(SUMPRODUCT($J$62:DU$62,$J59:DU59)&lt;0.5, "Pending", IF(DU59&lt;0.5, "Complete", "In Progress"))</f>
        <v>Pending</v>
      </c>
      <c r="DW59" s="22">
        <v>0</v>
      </c>
      <c r="DX59" s="22">
        <f t="shared" si="50"/>
        <v>0</v>
      </c>
      <c r="DY59" s="23" t="str">
        <f>IF(SUMPRODUCT($J$62:DX$62,$J59:DX59)&lt;0.5, "Pending", IF(DX59&lt;0.5, "Complete", "In Progress"))</f>
        <v>Pending</v>
      </c>
      <c r="DZ59" s="24"/>
      <c r="EA59" s="25">
        <f>SUMPRODUCT($H$62:DG$62,$H59:DG59)</f>
        <v>0</v>
      </c>
    </row>
    <row r="60" spans="1:131" hidden="1" x14ac:dyDescent="0.25">
      <c r="A60" s="26"/>
      <c r="B60" s="26"/>
      <c r="C60" s="26"/>
      <c r="D60" s="26"/>
      <c r="E60" s="26"/>
      <c r="F60" s="26"/>
      <c r="G60" s="26"/>
      <c r="H60" s="26"/>
      <c r="I60" s="26"/>
      <c r="J60" s="24"/>
      <c r="K60" s="24"/>
      <c r="L60" s="24"/>
      <c r="M60" s="27"/>
      <c r="N60" s="27"/>
      <c r="O60" s="24"/>
      <c r="P60" s="27"/>
      <c r="Q60" s="27"/>
      <c r="R60" s="24"/>
      <c r="S60" s="27"/>
      <c r="T60" s="27"/>
      <c r="U60" s="27"/>
      <c r="V60" s="27"/>
      <c r="W60" s="27"/>
      <c r="X60" s="24"/>
      <c r="Y60" s="27"/>
      <c r="Z60" s="27"/>
      <c r="AA60" s="24"/>
      <c r="AB60" s="27"/>
      <c r="AC60" s="27"/>
      <c r="AD60" s="24"/>
      <c r="AE60" s="27"/>
      <c r="AF60" s="27"/>
      <c r="AG60" s="24"/>
      <c r="AH60" s="27"/>
      <c r="AI60" s="27"/>
      <c r="AJ60" s="24"/>
      <c r="AK60" s="27"/>
      <c r="AL60" s="27"/>
      <c r="AM60" s="24"/>
      <c r="AN60" s="27"/>
      <c r="AO60" s="27"/>
      <c r="AP60" s="24"/>
      <c r="AQ60" s="27"/>
      <c r="AR60" s="27"/>
      <c r="AS60" s="24"/>
      <c r="AT60" s="27"/>
      <c r="AU60" s="27"/>
      <c r="AV60" s="24"/>
      <c r="AW60" s="27"/>
      <c r="AX60" s="27"/>
      <c r="AY60" s="24"/>
      <c r="AZ60" s="27"/>
      <c r="BA60" s="27"/>
      <c r="BB60" s="24"/>
      <c r="BC60" s="27"/>
      <c r="BD60" s="27"/>
      <c r="BE60" s="24"/>
      <c r="BF60" s="27"/>
      <c r="BG60" s="27"/>
      <c r="BH60" s="24"/>
      <c r="BI60" s="27"/>
      <c r="BJ60" s="27"/>
      <c r="BK60" s="24"/>
      <c r="BL60" s="27"/>
      <c r="BM60" s="27"/>
      <c r="BN60" s="24"/>
      <c r="BO60" s="27"/>
      <c r="BP60" s="27"/>
      <c r="BQ60" s="24"/>
      <c r="BR60" s="27"/>
      <c r="BS60" s="27"/>
      <c r="BT60" s="24"/>
      <c r="BU60" s="27"/>
      <c r="BV60" s="27"/>
      <c r="BW60" s="24"/>
      <c r="BX60" s="27"/>
      <c r="BY60" s="27"/>
      <c r="BZ60" s="24"/>
      <c r="CA60" s="27"/>
      <c r="CB60" s="27"/>
      <c r="CC60" s="24"/>
      <c r="CD60" s="27"/>
      <c r="CE60" s="27"/>
      <c r="CF60" s="24"/>
      <c r="CG60" s="27"/>
      <c r="CH60" s="27"/>
      <c r="CI60" s="24"/>
      <c r="CJ60" s="27"/>
      <c r="CK60" s="27"/>
      <c r="CL60" s="24"/>
      <c r="CM60" s="27"/>
      <c r="CN60" s="27"/>
      <c r="CO60" s="24"/>
      <c r="CP60" s="27"/>
      <c r="CQ60" s="27"/>
      <c r="CR60" s="24"/>
      <c r="CS60" s="27"/>
      <c r="CT60" s="27"/>
      <c r="CU60" s="24"/>
      <c r="CV60" s="27"/>
      <c r="CW60" s="27"/>
      <c r="CX60" s="24"/>
      <c r="CY60" s="27"/>
      <c r="CZ60" s="27"/>
      <c r="DA60" s="24"/>
      <c r="DB60" s="27"/>
      <c r="DC60" s="27"/>
      <c r="DD60" s="24"/>
      <c r="DE60" s="27"/>
      <c r="DF60" s="27"/>
      <c r="DG60" s="24"/>
      <c r="DH60" s="27"/>
      <c r="DI60" s="27"/>
      <c r="DJ60" s="24"/>
      <c r="DK60" s="27"/>
      <c r="DL60" s="27"/>
      <c r="DM60" s="24"/>
      <c r="DN60" s="27"/>
      <c r="DO60" s="27"/>
      <c r="DP60" s="24"/>
      <c r="DQ60" s="27"/>
      <c r="DR60" s="27"/>
      <c r="DS60" s="24"/>
      <c r="DT60" s="27"/>
      <c r="DU60" s="27"/>
      <c r="DV60" s="24"/>
      <c r="DW60" s="27"/>
      <c r="DX60" s="27"/>
      <c r="DY60" s="24"/>
      <c r="DZ60" s="24"/>
      <c r="EA60" s="28">
        <f>SUMPRODUCT($H$63:DG$63,$H60:DG60)</f>
        <v>0</v>
      </c>
    </row>
    <row r="61" spans="1:131" x14ac:dyDescent="0.25">
      <c r="A61" s="29"/>
      <c r="B61" s="29"/>
      <c r="C61" s="29"/>
      <c r="D61" s="29"/>
      <c r="E61" s="29"/>
      <c r="F61" s="29"/>
      <c r="G61" s="1"/>
      <c r="H61" s="29"/>
      <c r="I61" s="29"/>
      <c r="J61" s="203" t="s">
        <v>10</v>
      </c>
      <c r="K61" s="204"/>
      <c r="L61" s="30">
        <v>1</v>
      </c>
      <c r="M61" s="201" t="s">
        <v>10</v>
      </c>
      <c r="N61" s="202"/>
      <c r="O61" s="30">
        <f>L61+1</f>
        <v>2</v>
      </c>
      <c r="P61" s="201" t="s">
        <v>10</v>
      </c>
      <c r="Q61" s="202"/>
      <c r="R61" s="30">
        <f>O61+1</f>
        <v>3</v>
      </c>
      <c r="S61" s="201" t="s">
        <v>10</v>
      </c>
      <c r="T61" s="202"/>
      <c r="U61" s="30">
        <f>R61+1</f>
        <v>4</v>
      </c>
      <c r="V61" s="201" t="s">
        <v>10</v>
      </c>
      <c r="W61" s="202"/>
      <c r="X61" s="30">
        <f>U61+1</f>
        <v>5</v>
      </c>
      <c r="Y61" s="201" t="s">
        <v>10</v>
      </c>
      <c r="Z61" s="201"/>
      <c r="AA61" s="30">
        <f>X61+1</f>
        <v>6</v>
      </c>
      <c r="AB61" s="201" t="s">
        <v>10</v>
      </c>
      <c r="AC61" s="201"/>
      <c r="AD61" s="30">
        <f>AA61+1</f>
        <v>7</v>
      </c>
      <c r="AE61" s="201" t="s">
        <v>10</v>
      </c>
      <c r="AF61" s="201"/>
      <c r="AG61" s="30">
        <f>AD61+1</f>
        <v>8</v>
      </c>
      <c r="AH61" s="201" t="s">
        <v>10</v>
      </c>
      <c r="AI61" s="201"/>
      <c r="AJ61" s="30">
        <f>AG61+1</f>
        <v>9</v>
      </c>
      <c r="AK61" s="201" t="s">
        <v>10</v>
      </c>
      <c r="AL61" s="201"/>
      <c r="AM61" s="30">
        <f>AJ61+1</f>
        <v>10</v>
      </c>
      <c r="AN61" s="201" t="s">
        <v>10</v>
      </c>
      <c r="AO61" s="201"/>
      <c r="AP61" s="30">
        <f>AM61+1</f>
        <v>11</v>
      </c>
      <c r="AQ61" s="201" t="s">
        <v>10</v>
      </c>
      <c r="AR61" s="201"/>
      <c r="AS61" s="30">
        <f>AP61+1</f>
        <v>12</v>
      </c>
      <c r="AT61" s="201" t="s">
        <v>10</v>
      </c>
      <c r="AU61" s="201"/>
      <c r="AV61" s="30">
        <f>AS61+1</f>
        <v>13</v>
      </c>
      <c r="AW61" s="201" t="s">
        <v>10</v>
      </c>
      <c r="AX61" s="201"/>
      <c r="AY61" s="30">
        <f>AV61+1</f>
        <v>14</v>
      </c>
      <c r="AZ61" s="201" t="s">
        <v>10</v>
      </c>
      <c r="BA61" s="201"/>
      <c r="BB61" s="30">
        <f>AY61+1</f>
        <v>15</v>
      </c>
      <c r="BC61" s="201" t="s">
        <v>10</v>
      </c>
      <c r="BD61" s="201"/>
      <c r="BE61" s="30">
        <f>BB61+1</f>
        <v>16</v>
      </c>
      <c r="BF61" s="201" t="s">
        <v>10</v>
      </c>
      <c r="BG61" s="201"/>
      <c r="BH61" s="30">
        <f>BE61+1</f>
        <v>17</v>
      </c>
      <c r="BI61" s="201" t="s">
        <v>10</v>
      </c>
      <c r="BJ61" s="201"/>
      <c r="BK61" s="30">
        <f>BH61+1</f>
        <v>18</v>
      </c>
      <c r="BL61" s="201" t="s">
        <v>10</v>
      </c>
      <c r="BM61" s="201"/>
      <c r="BN61" s="30">
        <f>BK61+1</f>
        <v>19</v>
      </c>
      <c r="BO61" s="201" t="s">
        <v>10</v>
      </c>
      <c r="BP61" s="201"/>
      <c r="BQ61" s="30">
        <f>BN61+1</f>
        <v>20</v>
      </c>
      <c r="BR61" s="201" t="s">
        <v>10</v>
      </c>
      <c r="BS61" s="201"/>
      <c r="BT61" s="30">
        <f>BQ61+1</f>
        <v>21</v>
      </c>
      <c r="BU61" s="201" t="s">
        <v>10</v>
      </c>
      <c r="BV61" s="201"/>
      <c r="BW61" s="30">
        <f>BT61+1</f>
        <v>22</v>
      </c>
      <c r="BX61" s="201" t="s">
        <v>10</v>
      </c>
      <c r="BY61" s="201"/>
      <c r="BZ61" s="30">
        <f>BW61+1</f>
        <v>23</v>
      </c>
      <c r="CA61" s="201" t="s">
        <v>10</v>
      </c>
      <c r="CB61" s="201"/>
      <c r="CC61" s="30">
        <f>BZ61+1</f>
        <v>24</v>
      </c>
      <c r="CD61" s="201" t="s">
        <v>10</v>
      </c>
      <c r="CE61" s="201"/>
      <c r="CF61" s="30">
        <f>CC61+1</f>
        <v>25</v>
      </c>
      <c r="CG61" s="201" t="s">
        <v>10</v>
      </c>
      <c r="CH61" s="201"/>
      <c r="CI61" s="30">
        <f>CF61+1</f>
        <v>26</v>
      </c>
      <c r="CJ61" s="201" t="s">
        <v>10</v>
      </c>
      <c r="CK61" s="201"/>
      <c r="CL61" s="30">
        <f>CI61+1</f>
        <v>27</v>
      </c>
      <c r="CM61" s="201" t="s">
        <v>10</v>
      </c>
      <c r="CN61" s="201"/>
      <c r="CO61" s="30">
        <f>CL61+1</f>
        <v>28</v>
      </c>
      <c r="CP61" s="201" t="s">
        <v>10</v>
      </c>
      <c r="CQ61" s="201"/>
      <c r="CR61" s="30">
        <f>CO61+1</f>
        <v>29</v>
      </c>
      <c r="CS61" s="201" t="s">
        <v>10</v>
      </c>
      <c r="CT61" s="201"/>
      <c r="CU61" s="30">
        <f>CR61+1</f>
        <v>30</v>
      </c>
      <c r="CV61" s="201" t="s">
        <v>10</v>
      </c>
      <c r="CW61" s="202"/>
      <c r="CX61" s="30">
        <f>CU61+1</f>
        <v>31</v>
      </c>
      <c r="CY61" s="201" t="s">
        <v>10</v>
      </c>
      <c r="CZ61" s="202"/>
      <c r="DA61" s="30">
        <f>CX61+1</f>
        <v>32</v>
      </c>
      <c r="DB61" s="201" t="s">
        <v>10</v>
      </c>
      <c r="DC61" s="202"/>
      <c r="DD61" s="30">
        <f>DA61+1</f>
        <v>33</v>
      </c>
      <c r="DE61" s="201" t="s">
        <v>10</v>
      </c>
      <c r="DF61" s="202"/>
      <c r="DG61" s="30">
        <f>DD61+1</f>
        <v>34</v>
      </c>
      <c r="DH61" s="201" t="s">
        <v>10</v>
      </c>
      <c r="DI61" s="202"/>
      <c r="DJ61" s="30">
        <f>DG61+1</f>
        <v>35</v>
      </c>
      <c r="DK61" s="201" t="s">
        <v>10</v>
      </c>
      <c r="DL61" s="202"/>
      <c r="DM61" s="30">
        <f>DJ61+1</f>
        <v>36</v>
      </c>
      <c r="DN61" s="201" t="s">
        <v>10</v>
      </c>
      <c r="DO61" s="202"/>
      <c r="DP61" s="30">
        <f>DM61+1</f>
        <v>37</v>
      </c>
      <c r="DQ61" s="201" t="s">
        <v>10</v>
      </c>
      <c r="DR61" s="202"/>
      <c r="DS61" s="30">
        <f>DP61+1</f>
        <v>38</v>
      </c>
      <c r="DT61" s="201" t="s">
        <v>10</v>
      </c>
      <c r="DU61" s="202"/>
      <c r="DV61" s="30">
        <f>DS61+1</f>
        <v>39</v>
      </c>
      <c r="DW61" s="201" t="s">
        <v>10</v>
      </c>
      <c r="DX61" s="202"/>
      <c r="DY61" s="30">
        <f>DV61+1</f>
        <v>40</v>
      </c>
      <c r="DZ61" s="30"/>
      <c r="EA61" s="31"/>
    </row>
    <row r="62" spans="1:131" hidden="1" x14ac:dyDescent="0.25">
      <c r="A62" s="32"/>
      <c r="B62" s="32"/>
      <c r="C62" s="32"/>
      <c r="D62" s="32"/>
      <c r="E62" s="32" t="s">
        <v>12</v>
      </c>
      <c r="F62" s="32"/>
      <c r="G62" s="32"/>
      <c r="H62" s="32"/>
      <c r="I62" s="32"/>
      <c r="J62" s="193">
        <v>1</v>
      </c>
      <c r="K62" s="193">
        <v>0</v>
      </c>
      <c r="L62" s="32">
        <v>0</v>
      </c>
      <c r="M62" s="32">
        <v>1</v>
      </c>
      <c r="N62" s="32">
        <v>0</v>
      </c>
      <c r="O62" s="32">
        <v>0</v>
      </c>
      <c r="P62" s="32">
        <v>1</v>
      </c>
      <c r="Q62" s="32">
        <v>0</v>
      </c>
      <c r="R62" s="32">
        <v>0</v>
      </c>
      <c r="S62" s="32">
        <v>1</v>
      </c>
      <c r="T62" s="32">
        <v>0</v>
      </c>
      <c r="U62" s="32">
        <v>0</v>
      </c>
      <c r="V62" s="32">
        <v>1</v>
      </c>
      <c r="W62" s="32">
        <v>0</v>
      </c>
      <c r="X62" s="32">
        <v>0</v>
      </c>
      <c r="Y62" s="32">
        <v>1</v>
      </c>
      <c r="Z62" s="32">
        <v>0</v>
      </c>
      <c r="AA62" s="32">
        <v>0</v>
      </c>
      <c r="AB62" s="32">
        <v>1</v>
      </c>
      <c r="AC62" s="32">
        <v>0</v>
      </c>
      <c r="AD62" s="32">
        <v>0</v>
      </c>
      <c r="AE62" s="32">
        <v>1</v>
      </c>
      <c r="AF62" s="32">
        <v>0</v>
      </c>
      <c r="AG62" s="32">
        <v>0</v>
      </c>
      <c r="AH62" s="32">
        <v>1</v>
      </c>
      <c r="AI62" s="32">
        <v>0</v>
      </c>
      <c r="AJ62" s="32">
        <v>0</v>
      </c>
      <c r="AK62" s="32">
        <v>1</v>
      </c>
      <c r="AL62" s="32">
        <v>0</v>
      </c>
      <c r="AM62" s="32">
        <v>0</v>
      </c>
      <c r="AN62" s="32">
        <v>1</v>
      </c>
      <c r="AO62" s="32">
        <v>0</v>
      </c>
      <c r="AP62" s="32">
        <v>0</v>
      </c>
      <c r="AQ62" s="32">
        <v>1</v>
      </c>
      <c r="AR62" s="32">
        <v>0</v>
      </c>
      <c r="AS62" s="32">
        <v>0</v>
      </c>
      <c r="AT62" s="32">
        <v>1</v>
      </c>
      <c r="AU62" s="32">
        <v>0</v>
      </c>
      <c r="AV62" s="32">
        <v>0</v>
      </c>
      <c r="AW62" s="32">
        <v>1</v>
      </c>
      <c r="AX62" s="32">
        <v>0</v>
      </c>
      <c r="AY62" s="32">
        <v>0</v>
      </c>
      <c r="AZ62" s="32">
        <v>1</v>
      </c>
      <c r="BA62" s="32">
        <v>0</v>
      </c>
      <c r="BB62" s="32">
        <v>0</v>
      </c>
      <c r="BC62" s="32">
        <v>1</v>
      </c>
      <c r="BD62" s="32">
        <v>0</v>
      </c>
      <c r="BE62" s="32">
        <v>0</v>
      </c>
      <c r="BF62" s="32">
        <v>1</v>
      </c>
      <c r="BG62" s="32">
        <v>0</v>
      </c>
      <c r="BH62" s="32">
        <v>0</v>
      </c>
      <c r="BI62" s="32">
        <v>1</v>
      </c>
      <c r="BJ62" s="32">
        <v>0</v>
      </c>
      <c r="BK62" s="32">
        <v>0</v>
      </c>
      <c r="BL62" s="32">
        <v>1</v>
      </c>
      <c r="BM62" s="32">
        <v>0</v>
      </c>
      <c r="BN62" s="32">
        <v>0</v>
      </c>
      <c r="BO62" s="32">
        <v>1</v>
      </c>
      <c r="BP62" s="32">
        <v>0</v>
      </c>
      <c r="BQ62" s="32">
        <v>0</v>
      </c>
      <c r="BR62" s="32">
        <v>1</v>
      </c>
      <c r="BS62" s="32">
        <v>0</v>
      </c>
      <c r="BT62" s="32">
        <v>0</v>
      </c>
      <c r="BU62" s="32">
        <v>1</v>
      </c>
      <c r="BV62" s="32">
        <v>0</v>
      </c>
      <c r="BW62" s="32">
        <v>0</v>
      </c>
      <c r="BX62" s="32">
        <v>1</v>
      </c>
      <c r="BY62" s="32">
        <v>0</v>
      </c>
      <c r="BZ62" s="32">
        <v>0</v>
      </c>
      <c r="CA62" s="32">
        <v>1</v>
      </c>
      <c r="CB62" s="32">
        <v>0</v>
      </c>
      <c r="CC62" s="32">
        <v>0</v>
      </c>
      <c r="CD62" s="32">
        <v>1</v>
      </c>
      <c r="CE62" s="32">
        <v>0</v>
      </c>
      <c r="CF62" s="32">
        <v>0</v>
      </c>
      <c r="CG62" s="32">
        <v>1</v>
      </c>
      <c r="CH62" s="32">
        <v>0</v>
      </c>
      <c r="CI62" s="32">
        <v>0</v>
      </c>
      <c r="CJ62" s="32">
        <v>1</v>
      </c>
      <c r="CK62" s="32">
        <v>0</v>
      </c>
      <c r="CL62" s="32">
        <v>0</v>
      </c>
      <c r="CM62" s="32">
        <v>1</v>
      </c>
      <c r="CN62" s="32">
        <v>0</v>
      </c>
      <c r="CO62" s="32">
        <v>0</v>
      </c>
      <c r="CP62" s="32">
        <v>1</v>
      </c>
      <c r="CQ62" s="32">
        <v>0</v>
      </c>
      <c r="CR62" s="32">
        <v>0</v>
      </c>
      <c r="CS62" s="32">
        <v>1</v>
      </c>
      <c r="CT62" s="32">
        <v>0</v>
      </c>
      <c r="CU62" s="32">
        <v>0</v>
      </c>
      <c r="CV62" s="32">
        <v>1</v>
      </c>
      <c r="CW62" s="32">
        <v>0</v>
      </c>
      <c r="CX62" s="32">
        <v>0</v>
      </c>
      <c r="CY62" s="32">
        <v>1</v>
      </c>
      <c r="CZ62" s="32">
        <v>0</v>
      </c>
      <c r="DA62" s="32">
        <v>0</v>
      </c>
      <c r="DB62" s="32">
        <v>1</v>
      </c>
      <c r="DC62" s="32">
        <v>0</v>
      </c>
      <c r="DD62" s="32">
        <v>0</v>
      </c>
      <c r="DE62" s="32">
        <v>1</v>
      </c>
      <c r="DF62" s="32">
        <v>0</v>
      </c>
      <c r="DG62" s="32">
        <v>0</v>
      </c>
      <c r="DH62" s="32">
        <v>1</v>
      </c>
      <c r="DI62" s="32">
        <v>0</v>
      </c>
      <c r="DJ62" s="32">
        <v>0</v>
      </c>
      <c r="DK62" s="32">
        <v>1</v>
      </c>
      <c r="DL62" s="32">
        <v>0</v>
      </c>
      <c r="DM62" s="32">
        <v>0</v>
      </c>
      <c r="DN62" s="32">
        <v>1</v>
      </c>
      <c r="DO62" s="32">
        <v>0</v>
      </c>
      <c r="DP62" s="32">
        <v>0</v>
      </c>
      <c r="DQ62" s="32">
        <v>1</v>
      </c>
      <c r="DR62" s="32">
        <v>0</v>
      </c>
      <c r="DS62" s="32">
        <v>0</v>
      </c>
      <c r="DT62" s="32">
        <v>1</v>
      </c>
      <c r="DU62" s="32">
        <v>0</v>
      </c>
      <c r="DV62" s="32">
        <v>0</v>
      </c>
      <c r="DW62" s="32">
        <v>1</v>
      </c>
      <c r="DX62" s="32">
        <v>0</v>
      </c>
      <c r="DY62" s="32">
        <v>0</v>
      </c>
      <c r="DZ62" s="32"/>
      <c r="EA62" s="33"/>
    </row>
    <row r="63" spans="1:131" hidden="1" x14ac:dyDescent="0.25">
      <c r="A63" s="34"/>
      <c r="B63" s="34"/>
      <c r="C63" s="34"/>
      <c r="D63" s="34"/>
      <c r="E63" s="32" t="s">
        <v>14</v>
      </c>
      <c r="F63" s="32"/>
      <c r="G63" s="32"/>
      <c r="H63" s="32"/>
      <c r="I63" s="32"/>
      <c r="J63" s="24">
        <v>0</v>
      </c>
      <c r="K63" s="193">
        <v>1</v>
      </c>
      <c r="L63" s="32">
        <v>0</v>
      </c>
      <c r="M63" s="35">
        <v>0</v>
      </c>
      <c r="N63" s="32">
        <v>1</v>
      </c>
      <c r="O63" s="32">
        <v>0</v>
      </c>
      <c r="P63" s="35">
        <v>0</v>
      </c>
      <c r="Q63" s="32">
        <v>1</v>
      </c>
      <c r="R63" s="32">
        <v>0</v>
      </c>
      <c r="S63" s="35">
        <v>0</v>
      </c>
      <c r="T63" s="32">
        <v>1</v>
      </c>
      <c r="U63" s="32">
        <v>0</v>
      </c>
      <c r="V63" s="35">
        <v>0</v>
      </c>
      <c r="W63" s="32">
        <v>1</v>
      </c>
      <c r="X63" s="32">
        <v>0</v>
      </c>
      <c r="Y63" s="35">
        <v>0</v>
      </c>
      <c r="Z63" s="32">
        <v>1</v>
      </c>
      <c r="AA63" s="32">
        <v>0</v>
      </c>
      <c r="AB63" s="35">
        <v>0</v>
      </c>
      <c r="AC63" s="32">
        <v>1</v>
      </c>
      <c r="AD63" s="32">
        <v>0</v>
      </c>
      <c r="AE63" s="35">
        <v>0</v>
      </c>
      <c r="AF63" s="32">
        <v>1</v>
      </c>
      <c r="AG63" s="32">
        <v>0</v>
      </c>
      <c r="AH63" s="35">
        <v>0</v>
      </c>
      <c r="AI63" s="32">
        <v>1</v>
      </c>
      <c r="AJ63" s="32">
        <v>0</v>
      </c>
      <c r="AK63" s="35">
        <v>0</v>
      </c>
      <c r="AL63" s="32">
        <v>1</v>
      </c>
      <c r="AM63" s="32">
        <v>0</v>
      </c>
      <c r="AN63" s="35">
        <v>0</v>
      </c>
      <c r="AO63" s="32">
        <v>1</v>
      </c>
      <c r="AP63" s="32">
        <v>0</v>
      </c>
      <c r="AQ63" s="35">
        <v>0</v>
      </c>
      <c r="AR63" s="32">
        <v>1</v>
      </c>
      <c r="AS63" s="32">
        <v>0</v>
      </c>
      <c r="AT63" s="35">
        <v>0</v>
      </c>
      <c r="AU63" s="32">
        <v>1</v>
      </c>
      <c r="AV63" s="32">
        <v>0</v>
      </c>
      <c r="AW63" s="35">
        <v>0</v>
      </c>
      <c r="AX63" s="32">
        <v>1</v>
      </c>
      <c r="AY63" s="32">
        <v>0</v>
      </c>
      <c r="AZ63" s="35">
        <v>0</v>
      </c>
      <c r="BA63" s="32">
        <v>1</v>
      </c>
      <c r="BB63" s="32">
        <v>0</v>
      </c>
      <c r="BC63" s="35">
        <v>0</v>
      </c>
      <c r="BD63" s="32">
        <v>1</v>
      </c>
      <c r="BE63" s="32">
        <v>0</v>
      </c>
      <c r="BF63" s="35">
        <v>0</v>
      </c>
      <c r="BG63" s="32">
        <v>1</v>
      </c>
      <c r="BH63" s="32">
        <v>0</v>
      </c>
      <c r="BI63" s="35">
        <v>0</v>
      </c>
      <c r="BJ63" s="32">
        <v>1</v>
      </c>
      <c r="BK63" s="32">
        <v>0</v>
      </c>
      <c r="BL63" s="35">
        <v>0</v>
      </c>
      <c r="BM63" s="32">
        <v>1</v>
      </c>
      <c r="BN63" s="32">
        <v>0</v>
      </c>
      <c r="BO63" s="35">
        <v>0</v>
      </c>
      <c r="BP63" s="32">
        <v>1</v>
      </c>
      <c r="BQ63" s="32">
        <v>0</v>
      </c>
      <c r="BR63" s="35">
        <v>0</v>
      </c>
      <c r="BS63" s="32">
        <v>1</v>
      </c>
      <c r="BT63" s="32">
        <v>0</v>
      </c>
      <c r="BU63" s="35">
        <v>0</v>
      </c>
      <c r="BV63" s="32">
        <v>1</v>
      </c>
      <c r="BW63" s="32">
        <v>0</v>
      </c>
      <c r="BX63" s="35">
        <v>0</v>
      </c>
      <c r="BY63" s="32">
        <v>1</v>
      </c>
      <c r="BZ63" s="32">
        <v>0</v>
      </c>
      <c r="CA63" s="35">
        <v>0</v>
      </c>
      <c r="CB63" s="32">
        <v>1</v>
      </c>
      <c r="CC63" s="32">
        <v>0</v>
      </c>
      <c r="CD63" s="35">
        <v>0</v>
      </c>
      <c r="CE63" s="32">
        <v>1</v>
      </c>
      <c r="CF63" s="32">
        <v>0</v>
      </c>
      <c r="CG63" s="35">
        <v>0</v>
      </c>
      <c r="CH63" s="32">
        <v>1</v>
      </c>
      <c r="CI63" s="32">
        <v>0</v>
      </c>
      <c r="CJ63" s="35">
        <v>0</v>
      </c>
      <c r="CK63" s="32">
        <v>1</v>
      </c>
      <c r="CL63" s="32">
        <v>0</v>
      </c>
      <c r="CM63" s="35">
        <v>0</v>
      </c>
      <c r="CN63" s="32">
        <v>1</v>
      </c>
      <c r="CO63" s="32">
        <v>0</v>
      </c>
      <c r="CP63" s="35">
        <v>0</v>
      </c>
      <c r="CQ63" s="32">
        <v>1</v>
      </c>
      <c r="CR63" s="32">
        <v>0</v>
      </c>
      <c r="CS63" s="35">
        <v>0</v>
      </c>
      <c r="CT63" s="32">
        <v>1</v>
      </c>
      <c r="CU63" s="32">
        <v>0</v>
      </c>
      <c r="CV63" s="35">
        <v>0</v>
      </c>
      <c r="CW63" s="32">
        <v>1</v>
      </c>
      <c r="CX63" s="32">
        <v>0</v>
      </c>
      <c r="CY63" s="35">
        <v>0</v>
      </c>
      <c r="CZ63" s="32">
        <v>1</v>
      </c>
      <c r="DA63" s="32">
        <v>0</v>
      </c>
      <c r="DB63" s="35">
        <v>0</v>
      </c>
      <c r="DC63" s="32">
        <v>1</v>
      </c>
      <c r="DD63" s="32">
        <v>0</v>
      </c>
      <c r="DE63" s="35">
        <v>0</v>
      </c>
      <c r="DF63" s="32">
        <v>1</v>
      </c>
      <c r="DG63" s="32">
        <v>0</v>
      </c>
      <c r="DH63" s="35">
        <v>0</v>
      </c>
      <c r="DI63" s="32">
        <v>1</v>
      </c>
      <c r="DJ63" s="32">
        <v>0</v>
      </c>
      <c r="DK63" s="35">
        <v>0</v>
      </c>
      <c r="DL63" s="32">
        <v>1</v>
      </c>
      <c r="DM63" s="32">
        <v>0</v>
      </c>
      <c r="DN63" s="35">
        <v>0</v>
      </c>
      <c r="DO63" s="32">
        <v>1</v>
      </c>
      <c r="DP63" s="32">
        <v>0</v>
      </c>
      <c r="DQ63" s="35">
        <v>0</v>
      </c>
      <c r="DR63" s="32">
        <v>1</v>
      </c>
      <c r="DS63" s="32">
        <v>0</v>
      </c>
      <c r="DT63" s="35">
        <v>0</v>
      </c>
      <c r="DU63" s="32">
        <v>1</v>
      </c>
      <c r="DV63" s="32">
        <v>0</v>
      </c>
      <c r="DW63" s="35">
        <v>0</v>
      </c>
      <c r="DX63" s="32">
        <v>1</v>
      </c>
      <c r="DY63" s="32">
        <v>0</v>
      </c>
      <c r="DZ63" s="32"/>
    </row>
    <row r="64" spans="1:131" hidden="1" x14ac:dyDescent="0.25">
      <c r="A64" s="32"/>
      <c r="B64" s="32"/>
      <c r="C64" s="32"/>
      <c r="D64" s="32"/>
      <c r="E64" s="36" t="s">
        <v>15</v>
      </c>
      <c r="F64" s="32"/>
      <c r="G64" s="32"/>
      <c r="H64" s="32"/>
      <c r="I64" s="32"/>
      <c r="J64" s="24">
        <v>0</v>
      </c>
      <c r="K64" s="193">
        <v>0</v>
      </c>
      <c r="L64" s="32">
        <v>1</v>
      </c>
      <c r="M64" s="35">
        <v>0</v>
      </c>
      <c r="N64" s="32">
        <v>0</v>
      </c>
      <c r="O64" s="32">
        <v>1</v>
      </c>
      <c r="P64" s="35">
        <v>0</v>
      </c>
      <c r="Q64" s="32">
        <v>0</v>
      </c>
      <c r="R64" s="32">
        <v>1</v>
      </c>
      <c r="S64" s="35">
        <v>0</v>
      </c>
      <c r="T64" s="32">
        <v>0</v>
      </c>
      <c r="U64" s="32">
        <v>1</v>
      </c>
      <c r="V64" s="35">
        <v>0</v>
      </c>
      <c r="W64" s="32">
        <v>0</v>
      </c>
      <c r="X64" s="32">
        <v>1</v>
      </c>
      <c r="Y64" s="35">
        <v>0</v>
      </c>
      <c r="Z64" s="32">
        <v>0</v>
      </c>
      <c r="AA64" s="32">
        <v>1</v>
      </c>
      <c r="AB64" s="35">
        <v>0</v>
      </c>
      <c r="AC64" s="32">
        <v>0</v>
      </c>
      <c r="AD64" s="32">
        <v>1</v>
      </c>
      <c r="AE64" s="35">
        <v>0</v>
      </c>
      <c r="AF64" s="32">
        <v>0</v>
      </c>
      <c r="AG64" s="32">
        <v>1</v>
      </c>
      <c r="AH64" s="35">
        <v>0</v>
      </c>
      <c r="AI64" s="32">
        <v>0</v>
      </c>
      <c r="AJ64" s="32">
        <v>1</v>
      </c>
      <c r="AK64" s="35">
        <v>0</v>
      </c>
      <c r="AL64" s="32">
        <v>0</v>
      </c>
      <c r="AM64" s="32">
        <v>1</v>
      </c>
      <c r="AN64" s="35">
        <v>0</v>
      </c>
      <c r="AO64" s="32">
        <v>0</v>
      </c>
      <c r="AP64" s="32">
        <v>1</v>
      </c>
      <c r="AQ64" s="35">
        <v>0</v>
      </c>
      <c r="AR64" s="32">
        <v>0</v>
      </c>
      <c r="AS64" s="32">
        <v>1</v>
      </c>
      <c r="AT64" s="35">
        <v>0</v>
      </c>
      <c r="AU64" s="32">
        <v>0</v>
      </c>
      <c r="AV64" s="32">
        <v>1</v>
      </c>
      <c r="AW64" s="35">
        <v>0</v>
      </c>
      <c r="AX64" s="32">
        <v>0</v>
      </c>
      <c r="AY64" s="32">
        <v>1</v>
      </c>
      <c r="AZ64" s="35">
        <v>0</v>
      </c>
      <c r="BA64" s="32">
        <v>0</v>
      </c>
      <c r="BB64" s="32">
        <v>1</v>
      </c>
      <c r="BC64" s="35">
        <v>0</v>
      </c>
      <c r="BD64" s="32">
        <v>0</v>
      </c>
      <c r="BE64" s="32">
        <v>1</v>
      </c>
      <c r="BF64" s="35">
        <v>0</v>
      </c>
      <c r="BG64" s="32">
        <v>0</v>
      </c>
      <c r="BH64" s="32">
        <v>1</v>
      </c>
      <c r="BI64" s="35">
        <v>0</v>
      </c>
      <c r="BJ64" s="32">
        <v>0</v>
      </c>
      <c r="BK64" s="32">
        <v>1</v>
      </c>
      <c r="BL64" s="35">
        <v>0</v>
      </c>
      <c r="BM64" s="32">
        <v>0</v>
      </c>
      <c r="BN64" s="32">
        <v>1</v>
      </c>
      <c r="BO64" s="35">
        <v>0</v>
      </c>
      <c r="BP64" s="32">
        <v>0</v>
      </c>
      <c r="BQ64" s="32">
        <v>1</v>
      </c>
      <c r="BR64" s="35">
        <v>0</v>
      </c>
      <c r="BS64" s="32">
        <v>0</v>
      </c>
      <c r="BT64" s="32">
        <v>1</v>
      </c>
      <c r="BU64" s="35">
        <v>0</v>
      </c>
      <c r="BV64" s="32">
        <v>0</v>
      </c>
      <c r="BW64" s="32">
        <v>1</v>
      </c>
      <c r="BX64" s="35">
        <v>0</v>
      </c>
      <c r="BY64" s="32">
        <v>0</v>
      </c>
      <c r="BZ64" s="32">
        <v>1</v>
      </c>
      <c r="CA64" s="35">
        <v>0</v>
      </c>
      <c r="CB64" s="32">
        <v>0</v>
      </c>
      <c r="CC64" s="32">
        <v>1</v>
      </c>
      <c r="CD64" s="35">
        <v>0</v>
      </c>
      <c r="CE64" s="32">
        <v>0</v>
      </c>
      <c r="CF64" s="32">
        <v>1</v>
      </c>
      <c r="CG64" s="35">
        <v>0</v>
      </c>
      <c r="CH64" s="32">
        <v>0</v>
      </c>
      <c r="CI64" s="32">
        <v>1</v>
      </c>
      <c r="CJ64" s="35">
        <v>0</v>
      </c>
      <c r="CK64" s="32">
        <v>0</v>
      </c>
      <c r="CL64" s="32">
        <v>1</v>
      </c>
      <c r="CM64" s="35">
        <v>0</v>
      </c>
      <c r="CN64" s="32">
        <v>0</v>
      </c>
      <c r="CO64" s="32">
        <v>1</v>
      </c>
      <c r="CP64" s="35">
        <v>0</v>
      </c>
      <c r="CQ64" s="32">
        <v>0</v>
      </c>
      <c r="CR64" s="32">
        <v>1</v>
      </c>
      <c r="CS64" s="35">
        <v>0</v>
      </c>
      <c r="CT64" s="32">
        <v>0</v>
      </c>
      <c r="CU64" s="32">
        <v>1</v>
      </c>
      <c r="CV64" s="35">
        <v>0</v>
      </c>
      <c r="CW64" s="32">
        <v>0</v>
      </c>
      <c r="CX64" s="32">
        <v>1</v>
      </c>
      <c r="CY64" s="35">
        <v>0</v>
      </c>
      <c r="CZ64" s="32">
        <v>0</v>
      </c>
      <c r="DA64" s="32">
        <v>1</v>
      </c>
      <c r="DB64" s="35">
        <v>0</v>
      </c>
      <c r="DC64" s="32">
        <v>0</v>
      </c>
      <c r="DD64" s="32">
        <v>1</v>
      </c>
      <c r="DE64" s="35">
        <v>0</v>
      </c>
      <c r="DF64" s="32">
        <v>0</v>
      </c>
      <c r="DG64" s="32">
        <v>1</v>
      </c>
      <c r="DH64" s="35">
        <v>0</v>
      </c>
      <c r="DI64" s="32">
        <v>0</v>
      </c>
      <c r="DJ64" s="32">
        <v>1</v>
      </c>
      <c r="DK64" s="35">
        <v>0</v>
      </c>
      <c r="DL64" s="32">
        <v>0</v>
      </c>
      <c r="DM64" s="32">
        <v>1</v>
      </c>
      <c r="DN64" s="35">
        <v>0</v>
      </c>
      <c r="DO64" s="32">
        <v>0</v>
      </c>
      <c r="DP64" s="32">
        <v>1</v>
      </c>
      <c r="DQ64" s="35">
        <v>0</v>
      </c>
      <c r="DR64" s="32">
        <v>0</v>
      </c>
      <c r="DS64" s="32">
        <v>1</v>
      </c>
      <c r="DT64" s="35">
        <v>0</v>
      </c>
      <c r="DU64" s="32">
        <v>0</v>
      </c>
      <c r="DV64" s="32">
        <v>1</v>
      </c>
      <c r="DW64" s="35">
        <v>0</v>
      </c>
      <c r="DX64" s="32">
        <v>0</v>
      </c>
      <c r="DY64" s="32">
        <v>1</v>
      </c>
      <c r="DZ64" s="32"/>
    </row>
    <row r="65" spans="1:131" x14ac:dyDescent="0.25">
      <c r="A65" s="37">
        <v>300</v>
      </c>
      <c r="B65" s="37" t="s">
        <v>110</v>
      </c>
      <c r="C65" s="37"/>
      <c r="D65" s="37"/>
      <c r="E65" s="38" t="s">
        <v>106</v>
      </c>
      <c r="F65" s="38"/>
      <c r="G65" s="38"/>
      <c r="H65" s="38"/>
      <c r="I65" s="39">
        <f>SUBTOTAL(109,I$4:I$60)</f>
        <v>436</v>
      </c>
      <c r="J65" s="194">
        <f>SUBTOTAL(109,J$4:J$60)</f>
        <v>152</v>
      </c>
      <c r="K65" s="194">
        <f>SUBTOTAL(109,K$4:K$59)</f>
        <v>285</v>
      </c>
      <c r="L65" s="39"/>
      <c r="M65" s="39">
        <f>SUBTOTAL(109,M$4:M$60)</f>
        <v>0</v>
      </c>
      <c r="N65" s="39">
        <f>SUBTOTAL(109,N$4:N$59)</f>
        <v>285</v>
      </c>
      <c r="O65" s="39"/>
      <c r="P65" s="39">
        <f>SUBTOTAL(109,P$4:P$60)</f>
        <v>0</v>
      </c>
      <c r="Q65" s="39">
        <f>SUBTOTAL(109,Q$4:Q$59)</f>
        <v>285</v>
      </c>
      <c r="R65" s="39"/>
      <c r="S65" s="39">
        <f>SUBTOTAL(109,S$4:S$60)</f>
        <v>0</v>
      </c>
      <c r="T65" s="39">
        <f>SUBTOTAL(109,T$4:T$59)</f>
        <v>285</v>
      </c>
      <c r="U65" s="39"/>
      <c r="V65" s="39">
        <f>SUBTOTAL(109,V$4:V$60)</f>
        <v>0</v>
      </c>
      <c r="W65" s="39">
        <f>SUBTOTAL(109,W$4:W$59)</f>
        <v>285</v>
      </c>
      <c r="X65" s="39"/>
      <c r="Y65" s="39">
        <f>SUBTOTAL(109,Y$4:Y$60)</f>
        <v>0</v>
      </c>
      <c r="Z65" s="39">
        <f>SUBTOTAL(109,Z$4:Z$59)</f>
        <v>285</v>
      </c>
      <c r="AA65" s="39"/>
      <c r="AB65" s="39">
        <f>SUBTOTAL(109,AB$4:AB$60)</f>
        <v>0</v>
      </c>
      <c r="AC65" s="39">
        <f>SUBTOTAL(109,AC$4:AC$59)</f>
        <v>285</v>
      </c>
      <c r="AD65" s="39"/>
      <c r="AE65" s="39">
        <f>SUBTOTAL(109,AE$4:AE$60)</f>
        <v>0</v>
      </c>
      <c r="AF65" s="39">
        <f>SUBTOTAL(109,AF$4:AF$59)</f>
        <v>285</v>
      </c>
      <c r="AG65" s="39"/>
      <c r="AH65" s="39">
        <f>SUBTOTAL(109,AH$4:AH$60)</f>
        <v>0</v>
      </c>
      <c r="AI65" s="39">
        <f>SUBTOTAL(109,AI$4:AI$59)</f>
        <v>285</v>
      </c>
      <c r="AJ65" s="39"/>
      <c r="AK65" s="39">
        <f>SUBTOTAL(109,AK$4:AK$60)</f>
        <v>0</v>
      </c>
      <c r="AL65" s="39">
        <f>SUBTOTAL(109,AL$4:AL$59)</f>
        <v>285</v>
      </c>
      <c r="AM65" s="39"/>
      <c r="AN65" s="39">
        <f>SUBTOTAL(109,AN$4:AN$60)</f>
        <v>0</v>
      </c>
      <c r="AO65" s="39">
        <f>SUBTOTAL(109,AO$4:AO$59)</f>
        <v>285</v>
      </c>
      <c r="AP65" s="39"/>
      <c r="AQ65" s="39">
        <f>SUBTOTAL(109,AQ$4:AQ$60)</f>
        <v>0</v>
      </c>
      <c r="AR65" s="39">
        <f>SUBTOTAL(109,AR$4:AR$59)</f>
        <v>285</v>
      </c>
      <c r="AS65" s="39"/>
      <c r="AT65" s="39">
        <f>SUBTOTAL(109,AT$4:AT$60)</f>
        <v>0</v>
      </c>
      <c r="AU65" s="39">
        <f>SUBTOTAL(109,AU$4:AU$59)</f>
        <v>285</v>
      </c>
      <c r="AV65" s="39"/>
      <c r="AW65" s="39">
        <f>SUBTOTAL(109,AW$4:AW$60)</f>
        <v>0</v>
      </c>
      <c r="AX65" s="39">
        <f>SUBTOTAL(109,AX$4:AX$59)</f>
        <v>285</v>
      </c>
      <c r="AY65" s="39"/>
      <c r="AZ65" s="39">
        <f>SUBTOTAL(109,AZ$4:AZ$60)</f>
        <v>0</v>
      </c>
      <c r="BA65" s="39">
        <f>SUBTOTAL(109,BA$4:BA$59)</f>
        <v>285</v>
      </c>
      <c r="BB65" s="39"/>
      <c r="BC65" s="39">
        <f>SUBTOTAL(109,BC$4:BC$60)</f>
        <v>0</v>
      </c>
      <c r="BD65" s="39">
        <f>SUBTOTAL(109,BD$4:BD$59)</f>
        <v>285</v>
      </c>
      <c r="BE65" s="39"/>
      <c r="BF65" s="39">
        <f>SUBTOTAL(109,BF$4:BF$60)</f>
        <v>0</v>
      </c>
      <c r="BG65" s="39">
        <f>SUBTOTAL(109,BG$4:BG$59)</f>
        <v>285</v>
      </c>
      <c r="BH65" s="39"/>
      <c r="BI65" s="39">
        <f>SUBTOTAL(109,BI$4:BI$60)</f>
        <v>0</v>
      </c>
      <c r="BJ65" s="39">
        <f>SUBTOTAL(109,BJ$4:BJ$59)</f>
        <v>285</v>
      </c>
      <c r="BK65" s="39"/>
      <c r="BL65" s="39">
        <f>SUBTOTAL(109,BL$4:BL$60)</f>
        <v>0</v>
      </c>
      <c r="BM65" s="39">
        <f>SUBTOTAL(109,BM$4:BM$59)</f>
        <v>285</v>
      </c>
      <c r="BN65" s="39"/>
      <c r="BO65" s="39">
        <f>SUBTOTAL(109,BO$4:BO$60)</f>
        <v>0</v>
      </c>
      <c r="BP65" s="39">
        <f>SUBTOTAL(109,BP$4:BP$59)</f>
        <v>285</v>
      </c>
      <c r="BQ65" s="39"/>
      <c r="BR65" s="39">
        <f>SUBTOTAL(109,BR$4:BR$60)</f>
        <v>0</v>
      </c>
      <c r="BS65" s="39">
        <f>SUBTOTAL(109,BS$4:BS$59)</f>
        <v>285</v>
      </c>
      <c r="BT65" s="39"/>
      <c r="BU65" s="39">
        <f>SUBTOTAL(109,BU$4:BU$60)</f>
        <v>0</v>
      </c>
      <c r="BV65" s="39">
        <f>SUBTOTAL(109,BV$4:BV$59)</f>
        <v>285</v>
      </c>
      <c r="BW65" s="39"/>
      <c r="BX65" s="39">
        <f>SUBTOTAL(109,BX$4:BX$60)</f>
        <v>0</v>
      </c>
      <c r="BY65" s="39">
        <f>SUBTOTAL(109,BY$4:BY$59)</f>
        <v>285</v>
      </c>
      <c r="BZ65" s="39"/>
      <c r="CA65" s="39">
        <f>SUBTOTAL(109,CA$4:CA$60)</f>
        <v>0</v>
      </c>
      <c r="CB65" s="39">
        <f>SUBTOTAL(109,CB$4:CB$59)</f>
        <v>285</v>
      </c>
      <c r="CC65" s="39"/>
      <c r="CD65" s="39">
        <f>SUBTOTAL(109,CD$4:CD$60)</f>
        <v>0</v>
      </c>
      <c r="CE65" s="39">
        <f>SUBTOTAL(109,CE$4:CE$59)</f>
        <v>285</v>
      </c>
      <c r="CF65" s="39"/>
      <c r="CG65" s="39">
        <f>SUBTOTAL(109,CG$4:CG$60)</f>
        <v>0</v>
      </c>
      <c r="CH65" s="39">
        <f>SUBTOTAL(109,CH$4:CH$59)</f>
        <v>285</v>
      </c>
      <c r="CI65" s="39"/>
      <c r="CJ65" s="39">
        <f>SUBTOTAL(109,CJ$4:CJ$60)</f>
        <v>0</v>
      </c>
      <c r="CK65" s="39">
        <f>SUBTOTAL(109,CK$4:CK$59)</f>
        <v>285</v>
      </c>
      <c r="CL65" s="39"/>
      <c r="CM65" s="39">
        <f>SUBTOTAL(109,CM$4:CM$60)</f>
        <v>0</v>
      </c>
      <c r="CN65" s="39">
        <f>SUBTOTAL(109,CN$4:CN$59)</f>
        <v>285</v>
      </c>
      <c r="CO65" s="39"/>
      <c r="CP65" s="39">
        <f>SUBTOTAL(109,CP$4:CP$60)</f>
        <v>0</v>
      </c>
      <c r="CQ65" s="39">
        <f>SUBTOTAL(109,CQ$4:CQ$59)</f>
        <v>285</v>
      </c>
      <c r="CR65" s="39"/>
      <c r="CS65" s="39">
        <f>SUBTOTAL(109,CS$4:CS$60)</f>
        <v>0</v>
      </c>
      <c r="CT65" s="39">
        <f>SUBTOTAL(109,CT$4:CT$59)</f>
        <v>285</v>
      </c>
      <c r="CU65" s="39"/>
      <c r="CV65" s="39">
        <f t="shared" ref="CV65:DY65" si="451">SUBTOTAL(109,CV$4:CV$59)</f>
        <v>0</v>
      </c>
      <c r="CW65" s="39">
        <f t="shared" si="451"/>
        <v>285</v>
      </c>
      <c r="CX65" s="39">
        <f t="shared" si="451"/>
        <v>0</v>
      </c>
      <c r="CY65" s="39">
        <f t="shared" si="451"/>
        <v>0</v>
      </c>
      <c r="CZ65" s="39">
        <f t="shared" si="451"/>
        <v>285</v>
      </c>
      <c r="DA65" s="39">
        <f t="shared" si="451"/>
        <v>0</v>
      </c>
      <c r="DB65" s="39">
        <f t="shared" si="451"/>
        <v>0</v>
      </c>
      <c r="DC65" s="39">
        <f t="shared" si="451"/>
        <v>285</v>
      </c>
      <c r="DD65" s="39">
        <f t="shared" si="451"/>
        <v>0</v>
      </c>
      <c r="DE65" s="39">
        <f t="shared" si="451"/>
        <v>0</v>
      </c>
      <c r="DF65" s="39">
        <f t="shared" si="451"/>
        <v>285</v>
      </c>
      <c r="DG65" s="39">
        <f t="shared" si="451"/>
        <v>0</v>
      </c>
      <c r="DH65" s="39">
        <f t="shared" si="451"/>
        <v>0</v>
      </c>
      <c r="DI65" s="39">
        <f t="shared" si="451"/>
        <v>285</v>
      </c>
      <c r="DJ65" s="39">
        <f t="shared" si="451"/>
        <v>0</v>
      </c>
      <c r="DK65" s="39">
        <f t="shared" si="451"/>
        <v>0</v>
      </c>
      <c r="DL65" s="39">
        <f t="shared" si="451"/>
        <v>285</v>
      </c>
      <c r="DM65" s="39">
        <f t="shared" si="451"/>
        <v>0</v>
      </c>
      <c r="DN65" s="39">
        <f t="shared" si="451"/>
        <v>0</v>
      </c>
      <c r="DO65" s="39">
        <f t="shared" si="451"/>
        <v>285</v>
      </c>
      <c r="DP65" s="39">
        <f t="shared" si="451"/>
        <v>0</v>
      </c>
      <c r="DQ65" s="39">
        <f t="shared" si="451"/>
        <v>0</v>
      </c>
      <c r="DR65" s="39">
        <f t="shared" si="451"/>
        <v>285</v>
      </c>
      <c r="DS65" s="39">
        <f t="shared" si="451"/>
        <v>0</v>
      </c>
      <c r="DT65" s="39">
        <f t="shared" si="451"/>
        <v>0</v>
      </c>
      <c r="DU65" s="39">
        <f t="shared" si="451"/>
        <v>285</v>
      </c>
      <c r="DV65" s="39">
        <f t="shared" si="451"/>
        <v>0</v>
      </c>
      <c r="DW65" s="39">
        <f t="shared" si="451"/>
        <v>0</v>
      </c>
      <c r="DX65" s="39">
        <f t="shared" si="451"/>
        <v>285</v>
      </c>
      <c r="DY65" s="39">
        <f t="shared" si="451"/>
        <v>0</v>
      </c>
      <c r="DZ65" s="38"/>
      <c r="EA65" s="40"/>
    </row>
    <row r="66" spans="1:131" x14ac:dyDescent="0.25">
      <c r="A66" s="41"/>
      <c r="B66" s="41"/>
      <c r="C66" s="41"/>
      <c r="D66" s="41"/>
      <c r="E66" s="41"/>
      <c r="F66" s="41"/>
      <c r="G66" s="41"/>
      <c r="H66" s="41"/>
      <c r="I66" s="41"/>
      <c r="J66" s="195"/>
      <c r="K66" s="196"/>
      <c r="L66" s="41"/>
      <c r="M66" s="42"/>
      <c r="N66" s="41"/>
      <c r="O66" s="41"/>
      <c r="P66" s="42"/>
      <c r="Q66" s="41"/>
      <c r="R66" s="41"/>
      <c r="S66" s="42"/>
      <c r="T66" s="41"/>
      <c r="U66" s="41"/>
      <c r="V66" s="42"/>
      <c r="W66" s="41"/>
      <c r="X66" s="41"/>
      <c r="Y66" s="42"/>
      <c r="Z66" s="41"/>
      <c r="AA66" s="41"/>
      <c r="AB66" s="42"/>
      <c r="AC66" s="41"/>
      <c r="AD66" s="41"/>
      <c r="AE66" s="42"/>
      <c r="AF66" s="41"/>
      <c r="AG66" s="41"/>
      <c r="AH66" s="42"/>
      <c r="AI66" s="41"/>
      <c r="AJ66" s="41"/>
      <c r="AK66" s="42"/>
      <c r="AL66" s="41"/>
      <c r="AM66" s="41"/>
      <c r="AN66" s="42"/>
      <c r="AO66" s="41"/>
      <c r="AP66" s="41"/>
      <c r="AQ66" s="42"/>
      <c r="AR66" s="41"/>
      <c r="AS66" s="41"/>
      <c r="AT66" s="42"/>
      <c r="AU66" s="41"/>
      <c r="AV66" s="41"/>
      <c r="AW66" s="42"/>
      <c r="AX66" s="41"/>
      <c r="AY66" s="41"/>
      <c r="AZ66" s="42"/>
      <c r="BA66" s="41"/>
      <c r="BB66" s="41"/>
      <c r="BC66" s="42"/>
      <c r="BD66" s="41"/>
      <c r="BE66" s="41"/>
      <c r="BF66" s="42"/>
      <c r="BG66" s="41"/>
      <c r="BH66" s="41"/>
      <c r="BI66" s="42"/>
      <c r="BJ66" s="41"/>
      <c r="BK66" s="41"/>
      <c r="BL66" s="42"/>
      <c r="BM66" s="41"/>
      <c r="BN66" s="41"/>
      <c r="BO66" s="42"/>
      <c r="BP66" s="41"/>
      <c r="BQ66" s="41"/>
      <c r="BR66" s="42"/>
      <c r="BS66" s="41"/>
      <c r="BT66" s="41"/>
      <c r="BU66" s="42"/>
      <c r="BV66" s="41"/>
      <c r="BW66" s="41"/>
      <c r="BX66" s="42"/>
      <c r="BY66" s="41"/>
      <c r="BZ66" s="41"/>
      <c r="CA66" s="42"/>
      <c r="CB66" s="41"/>
      <c r="CC66" s="41"/>
      <c r="CD66" s="42"/>
      <c r="CE66" s="41"/>
      <c r="CF66" s="41"/>
      <c r="CG66" s="42"/>
      <c r="CH66" s="41"/>
      <c r="CI66" s="41"/>
      <c r="CJ66" s="42"/>
      <c r="CK66" s="41"/>
      <c r="CL66" s="41"/>
      <c r="CM66" s="42"/>
      <c r="CN66" s="41"/>
      <c r="CO66" s="41"/>
      <c r="CP66" s="42"/>
      <c r="CQ66" s="41"/>
      <c r="CR66" s="41"/>
      <c r="CS66" s="42"/>
      <c r="CT66" s="41"/>
      <c r="CU66" s="41"/>
      <c r="CV66" s="42"/>
      <c r="CW66" s="41"/>
      <c r="CX66" s="41"/>
      <c r="CY66" s="42"/>
      <c r="CZ66" s="41"/>
      <c r="DA66" s="41"/>
      <c r="DB66" s="42"/>
      <c r="DC66" s="41"/>
      <c r="DD66" s="41"/>
      <c r="DE66" s="42"/>
      <c r="DF66" s="41"/>
      <c r="DG66" s="41"/>
      <c r="DH66" s="42"/>
      <c r="DI66" s="41"/>
      <c r="DJ66" s="41"/>
      <c r="DK66" s="42"/>
      <c r="DL66" s="41"/>
      <c r="DM66" s="41"/>
      <c r="DN66" s="42"/>
      <c r="DO66" s="41"/>
      <c r="DP66" s="41"/>
      <c r="DQ66" s="42"/>
      <c r="DR66" s="41"/>
      <c r="DS66" s="41"/>
      <c r="DT66" s="42"/>
      <c r="DU66" s="41"/>
      <c r="DV66" s="41"/>
      <c r="DW66" s="42"/>
      <c r="DX66" s="41"/>
      <c r="DY66" s="41"/>
      <c r="DZ66" s="41"/>
    </row>
    <row r="67" spans="1:131" x14ac:dyDescent="0.25">
      <c r="A67" s="41"/>
      <c r="B67" s="41"/>
      <c r="C67" s="41"/>
      <c r="D67" s="41"/>
      <c r="E67" s="41"/>
      <c r="F67" s="41"/>
      <c r="G67" s="41"/>
      <c r="H67" s="41"/>
      <c r="I67" s="41"/>
      <c r="J67" s="195"/>
      <c r="K67" s="196"/>
      <c r="L67" s="41"/>
      <c r="M67" s="42"/>
      <c r="N67" s="41"/>
      <c r="O67" s="41"/>
      <c r="P67" s="42"/>
      <c r="Q67" s="41"/>
      <c r="R67" s="41"/>
      <c r="S67" s="42"/>
      <c r="T67" s="41"/>
      <c r="U67" s="41"/>
      <c r="V67" s="42"/>
      <c r="W67" s="41"/>
      <c r="X67" s="41"/>
      <c r="Y67" s="42"/>
      <c r="Z67" s="41"/>
      <c r="AA67" s="41"/>
      <c r="AB67" s="42"/>
      <c r="AC67" s="41"/>
      <c r="AD67" s="41"/>
      <c r="AE67" s="42"/>
      <c r="AF67" s="41"/>
      <c r="AG67" s="41"/>
      <c r="AH67" s="42"/>
      <c r="AI67" s="41"/>
      <c r="AJ67" s="41"/>
      <c r="AK67" s="42"/>
      <c r="AL67" s="41"/>
      <c r="AM67" s="41"/>
      <c r="AN67" s="42"/>
      <c r="AO67" s="41"/>
      <c r="AP67" s="41"/>
      <c r="AQ67" s="42"/>
      <c r="AR67" s="41"/>
      <c r="AS67" s="41"/>
      <c r="AT67" s="42"/>
      <c r="AU67" s="41"/>
      <c r="AV67" s="41"/>
      <c r="AW67" s="42"/>
      <c r="AX67" s="41"/>
      <c r="AY67" s="41"/>
      <c r="AZ67" s="42"/>
      <c r="BA67" s="41"/>
      <c r="BB67" s="41"/>
      <c r="BC67" s="42"/>
      <c r="BD67" s="41"/>
      <c r="BE67" s="41"/>
      <c r="BF67" s="42"/>
      <c r="BG67" s="41"/>
      <c r="BH67" s="41"/>
      <c r="BI67" s="42"/>
      <c r="BJ67" s="41"/>
      <c r="BK67" s="41"/>
      <c r="BL67" s="42"/>
      <c r="BM67" s="41"/>
      <c r="BN67" s="41"/>
      <c r="BO67" s="42"/>
      <c r="BP67" s="41"/>
      <c r="BQ67" s="41"/>
      <c r="BR67" s="42"/>
      <c r="BS67" s="41"/>
      <c r="BT67" s="41"/>
      <c r="BU67" s="42"/>
      <c r="BV67" s="41"/>
      <c r="BW67" s="41"/>
      <c r="BX67" s="42"/>
      <c r="BY67" s="41"/>
      <c r="BZ67" s="41"/>
      <c r="CA67" s="42"/>
      <c r="CB67" s="41"/>
      <c r="CC67" s="41"/>
      <c r="CD67" s="42"/>
      <c r="CE67" s="41"/>
      <c r="CF67" s="41"/>
      <c r="CG67" s="42"/>
      <c r="CH67" s="41"/>
      <c r="CI67" s="41"/>
      <c r="CJ67" s="42"/>
      <c r="CK67" s="41"/>
      <c r="CL67" s="41"/>
      <c r="CM67" s="42"/>
      <c r="CN67" s="41"/>
      <c r="CO67" s="41"/>
      <c r="CP67" s="42"/>
      <c r="CQ67" s="41"/>
      <c r="CR67" s="41"/>
      <c r="CS67" s="42"/>
      <c r="CT67" s="41"/>
      <c r="CU67" s="41"/>
      <c r="CV67" s="42"/>
      <c r="CW67" s="41"/>
      <c r="CX67" s="41"/>
      <c r="CY67" s="42"/>
      <c r="CZ67" s="41"/>
      <c r="DA67" s="41"/>
      <c r="DB67" s="42"/>
      <c r="DC67" s="41"/>
      <c r="DD67" s="41"/>
      <c r="DE67" s="42"/>
      <c r="DF67" s="41"/>
      <c r="DG67" s="41"/>
      <c r="DH67" s="42"/>
      <c r="DI67" s="41"/>
      <c r="DJ67" s="41"/>
      <c r="DK67" s="42"/>
      <c r="DL67" s="41"/>
      <c r="DM67" s="41"/>
      <c r="DN67" s="42"/>
      <c r="DO67" s="41"/>
      <c r="DP67" s="41"/>
      <c r="DQ67" s="42"/>
      <c r="DR67" s="41"/>
      <c r="DS67" s="41"/>
      <c r="DT67" s="42"/>
      <c r="DU67" s="41"/>
      <c r="DV67" s="41"/>
      <c r="DW67" s="42"/>
      <c r="DX67" s="41"/>
      <c r="DY67" s="41"/>
      <c r="DZ67" s="41"/>
    </row>
    <row r="68" spans="1:131" x14ac:dyDescent="0.25">
      <c r="A68" s="41"/>
      <c r="B68" s="41"/>
      <c r="C68" s="41"/>
      <c r="D68" s="41"/>
      <c r="E68" s="41"/>
      <c r="F68" s="41"/>
      <c r="G68" s="41"/>
    </row>
    <row r="69" spans="1:131" x14ac:dyDescent="0.25">
      <c r="A69" s="41"/>
      <c r="B69" s="41"/>
      <c r="C69" s="41"/>
      <c r="D69" s="41"/>
      <c r="E69" s="41"/>
      <c r="F69" s="41"/>
      <c r="G69" s="41"/>
    </row>
  </sheetData>
  <autoFilter ref="A3:EA59"/>
  <mergeCells count="80">
    <mergeCell ref="CG1:CI1"/>
    <mergeCell ref="CG61:CH61"/>
    <mergeCell ref="BU1:BW1"/>
    <mergeCell ref="BU61:BV61"/>
    <mergeCell ref="BX1:BZ1"/>
    <mergeCell ref="BX61:BY61"/>
    <mergeCell ref="CA1:CC1"/>
    <mergeCell ref="CA61:CB61"/>
    <mergeCell ref="CD61:CE61"/>
    <mergeCell ref="CD1:CF1"/>
    <mergeCell ref="AK1:AM1"/>
    <mergeCell ref="AN1:AP1"/>
    <mergeCell ref="P1:R1"/>
    <mergeCell ref="S1:U1"/>
    <mergeCell ref="AH1:AJ1"/>
    <mergeCell ref="V1:X1"/>
    <mergeCell ref="BR1:BT1"/>
    <mergeCell ref="BF1:BH1"/>
    <mergeCell ref="AT1:AV1"/>
    <mergeCell ref="AW1:AY1"/>
    <mergeCell ref="BI1:BK1"/>
    <mergeCell ref="BL1:BN1"/>
    <mergeCell ref="AZ1:BB1"/>
    <mergeCell ref="BC1:BE1"/>
    <mergeCell ref="BO1:BQ1"/>
    <mergeCell ref="AQ1:AS1"/>
    <mergeCell ref="J61:K61"/>
    <mergeCell ref="M61:N61"/>
    <mergeCell ref="P61:Q61"/>
    <mergeCell ref="S61:T61"/>
    <mergeCell ref="AH61:AI61"/>
    <mergeCell ref="V61:W61"/>
    <mergeCell ref="J1:L1"/>
    <mergeCell ref="M1:O1"/>
    <mergeCell ref="AQ61:AR61"/>
    <mergeCell ref="Y61:Z61"/>
    <mergeCell ref="AE1:AG1"/>
    <mergeCell ref="AB1:AD1"/>
    <mergeCell ref="Y1:AA1"/>
    <mergeCell ref="AK61:AL61"/>
    <mergeCell ref="AN61:AO61"/>
    <mergeCell ref="BR61:BS61"/>
    <mergeCell ref="BF61:BG61"/>
    <mergeCell ref="AT61:AU61"/>
    <mergeCell ref="AW61:AX61"/>
    <mergeCell ref="BI61:BJ61"/>
    <mergeCell ref="BL61:BM61"/>
    <mergeCell ref="AZ61:BA61"/>
    <mergeCell ref="BC61:BD61"/>
    <mergeCell ref="BO61:BP61"/>
    <mergeCell ref="DW1:DY1"/>
    <mergeCell ref="DW61:DX61"/>
    <mergeCell ref="AE61:AF61"/>
    <mergeCell ref="AB61:AC61"/>
    <mergeCell ref="DK1:DM1"/>
    <mergeCell ref="DK61:DL61"/>
    <mergeCell ref="DN1:DP1"/>
    <mergeCell ref="DN61:DO61"/>
    <mergeCell ref="DQ1:DS1"/>
    <mergeCell ref="DQ61:DR61"/>
    <mergeCell ref="CV1:CX1"/>
    <mergeCell ref="CV61:CW61"/>
    <mergeCell ref="CY1:DA1"/>
    <mergeCell ref="CY61:CZ61"/>
    <mergeCell ref="DH1:DJ1"/>
    <mergeCell ref="DH61:DI61"/>
    <mergeCell ref="CJ1:CL1"/>
    <mergeCell ref="CJ61:CK61"/>
    <mergeCell ref="DT1:DV1"/>
    <mergeCell ref="DT61:DU61"/>
    <mergeCell ref="CM1:CO1"/>
    <mergeCell ref="CM61:CN61"/>
    <mergeCell ref="CP61:CQ61"/>
    <mergeCell ref="CP1:CR1"/>
    <mergeCell ref="CS1:CU1"/>
    <mergeCell ref="CS61:CT61"/>
    <mergeCell ref="DE1:DG1"/>
    <mergeCell ref="DE61:DF61"/>
    <mergeCell ref="DB1:DD1"/>
    <mergeCell ref="DB61:DC61"/>
  </mergeCells>
  <phoneticPr fontId="2" type="noConversion"/>
  <conditionalFormatting sqref="J1:DY1">
    <cfRule type="expression" dxfId="134" priority="178" stopIfTrue="1">
      <formula>J$1=TODAY()+DailyScrumDateModifier</formula>
    </cfRule>
    <cfRule type="expression" dxfId="133" priority="178" stopIfTrue="1">
      <formula>J$1=TODAY()</formula>
    </cfRule>
  </conditionalFormatting>
  <conditionalFormatting sqref="I65">
    <cfRule type="cellIs" dxfId="132" priority="183" stopIfTrue="1" operator="lessThan">
      <formula>A65*0.75</formula>
    </cfRule>
    <cfRule type="cellIs" dxfId="131" priority="183" stopIfTrue="1" operator="between">
      <formula>A65*0.75</formula>
      <formula>#REF!</formula>
    </cfRule>
    <cfRule type="cellIs" dxfId="130" priority="183" stopIfTrue="1" operator="greaterThan">
      <formula>A65</formula>
    </cfRule>
  </conditionalFormatting>
  <conditionalFormatting sqref="J2:J3 DW2:DW3 DN2:DN3 DQ2:DQ3 P2:P3 S2:S3 V2:V3 Y2:Y3 AB2:AB3 AE2:AE3 AH2:AH3 AK2:AK3 AN2:AN3 AQ2:AQ3 AT2:AT3 AW2:AW3 AZ2:AZ3 BC2:BC3 BF2:BF3 BI2:BI3 BL2:BL3 BO2:BO3 BR2:BR3 BU2:BU3 BX2:BX3 CA2:CA3 CD2:CD3 CG2:CG3 CJ2:CJ3 CM2:CM3 CP2:CP3 CS2:CS3 CV2:CV3 CY2:CY3 DB2:DB3 DE2:DE3 DH2:DH3 DK2:DK3 DT2:DT3 M2:M3">
    <cfRule type="expression" dxfId="129" priority="175" stopIfTrue="1">
      <formula>J$1=TODAY()+DailyScrumDateModifier</formula>
    </cfRule>
  </conditionalFormatting>
  <conditionalFormatting sqref="K2:K3 Q2:Q3 T2:T3 W2:W3 Z2:Z3 AC2:AC3 AF2:AF3 AI2:AI3 AL2:AL3 AO2:AO3 AR2:AR3 AU2:AU3 AX2:AX3 BA2:BA3 BD2:BD3 BG2:BG3 BJ2:BJ3 BM2:BM3 BP2:BP3 BS2:BS3 BV2:BV3 BY2:BY3 CB2:CB3 CE2:CE3 CH2:CH3 CK2:CK3 CN2:CN3 CQ2:CQ3 CT2:CT3 CW2:CW3 CZ2:CZ3 DC2:DC3 DF2:DF3 DI2:DI3 DL2:DL3 DO2:DO3 DR2:DR3 DU2:DU3 DX2:DX3 N2:N3">
    <cfRule type="expression" dxfId="128" priority="176" stopIfTrue="1">
      <formula>J$1=TODAY()+DailyScrumDateModifier</formula>
    </cfRule>
  </conditionalFormatting>
  <conditionalFormatting sqref="L2:L3 R2:R3 U2:U3 X2:X3 AA2:AA3 AD2:AD3 AG2:AG3 AJ2:AJ3 AM2:AM3 AP2:AP3 AS2:AS3 AV2:AV3 AY2:AY3 BB2:BB3 BE2:BE3 BH2:BH3 BK2:BK3 BN2:BN3 BQ2:BQ3 BT2:BT3 BW2:BW3 BZ2:BZ3 CC2:CC3 CF2:CF3 CI2:CI3 CL2:CL3 CO2:CO3 CR2:CR3 CU2:CU3 CX2:CX3 DA2:DA3 DD2:DD3 DG2:DG3 DJ2:DJ3 DM2:DM3 DP2:DP3 DS2:DS3 DV2:DV3 DY2:DY3 O2:O3">
    <cfRule type="expression" dxfId="127" priority="177" stopIfTrue="1">
      <formula>J$1=TODAY()+DailyScrumDateModifier</formula>
    </cfRule>
  </conditionalFormatting>
  <conditionalFormatting sqref="J66:K67 M66:N67">
    <cfRule type="expression" dxfId="126" priority="180" stopIfTrue="1">
      <formula>"I1=TODAY()"</formula>
    </cfRule>
  </conditionalFormatting>
  <conditionalFormatting sqref="G61">
    <cfRule type="cellIs" dxfId="125" priority="181" stopIfTrue="1" operator="equal">
      <formula>"Complete"</formula>
    </cfRule>
    <cfRule type="cellIs" dxfId="124" priority="181" stopIfTrue="1" operator="equal">
      <formula>"In Progress"</formula>
    </cfRule>
  </conditionalFormatting>
  <conditionalFormatting sqref="CV4:CV21 CY4:CY21 DB4:DB21 DE4:DE21 DH4:DH21 DK4:DK21 DN4:DN21 DQ4:DQ21 DT4:DT21 DW4:DW21 P4:P21 M4:M21 CJ4:CJ21 V4:V21 Y4:Y21 AB4:AB21 AE4:AE21 AH4:AH21 AK4:AK21 AN4:AN21 AQ4:AQ21 AT4:AT21 AW4:AW21 AZ4:AZ21 BC4:BC21 BF4:BF21 BI4:BI21 BL4:BL21 BO4:BO21 BR4:BR21 BU4:BU21 BX4:BX21 CA4:CA21 CD4:CD21 CG4:CG21 S4:S21 CM4:CM21 CP4:CP21 CS4:CS21 J4:J21 J48 CS48 CP48 CM48 S48 CG48 CD48 CA48 BX48 BU48 BR48 BO48 BL48 BI48 BF48 BC48 AZ48 AW48 AT48 AQ48 AN48 AK48 AH48 AE48 AB48 Y48 V48 CJ48 M48 P48 DW48 DT48 DQ48 DN48 DK48 DH48 DE48 DB48 CY48 CV48 J34:J38 CS34:CS38 CP34:CP38 CM34:CM38 S34:S38 CG34:CG38 CD34:CD38 CA34:CA38 BX34:BX38 BU34:BU38 BR34:BR38 BO34:BO38 BL34:BL38 BI34:BI38 BF34:BF38 BC34:BC38 AZ34:AZ38 AW34:AW38 AT34:AT38 AQ34:AQ38 AN34:AN38 AK34:AK38 AH34:AH38 AE34:AE38 AB34:AB38 Y34:Y38 V34:V38 CJ34:CJ38 M34:M38 P34:P38 DW34:DW38 DT34:DT38 DQ34:DQ38 DN34:DN38 DK34:DK38 DH34:DH38 DE34:DE38 DB34:DB38 CY34:CY38 CV34:CV38 CV57:CV59 CY57:CY59 DB57:DB59 DE57:DE59 DH57:DH59 DK57:DK59 DN57:DN59 DQ57:DQ59 DT57:DT59 DW57:DW59 P57:P59 M57:M59 CJ57:CJ59 V57:V59 Y57:Y59 AB57:AB59 AE57:AE59 AH57:AH59 AK57:AK59 AN57:AN59 AQ57:AQ59 AT57:AT59 AW57:AW59 AZ57:AZ59 BC57:BC59 BF57:BF59 BI57:BI59 BL57:BL59 BO57:BO59 BR57:BR59 BU57:BU59 BX57:BX59 CA57:CA59 CD57:CD59 CG57:CG59 S57:S59 CM57:CM59 CP57:CP59 CS57:CS59 J57:J59 CV51 CY51 DB51 DE51 DH51 DK51 DN51 DQ51 DT51 DW51 P51 M51 CJ51 V51 Y51 AB51 AE51 AH51 AK51 AN51 AQ51 AT51 AW51 AZ51 BC51 BF51 BI51 BL51 BO51 BR51 BU51 BX51 CA51 CD51 CG51 S51 CM51 CP51 CS51 J51 CV41:CV42 CY41:CY42 DB41:DB42 DE41:DE42 DH41:DH42 DK41:DK42 DN41:DN42 DQ41:DQ42 DT41:DT42 DW41:DW42 P41:P42 M41:M42 CJ41:CJ42 V41:V42 Y41:Y42 AB41:AB42 AE41:AE42 AH41:AH42 AK41:AK42 AN41:AN42 AQ41:AQ42 AT41:AT42 AW41:AW42 AZ41:AZ42 BC41:BC42 BF41:BF42 BI41:BI42 BL41:BL42 BO41:BO42 BR41:BR42 BU41:BU42 BX41:BX42 CA41:CA42 CD41:CD42 CG41:CG42 S41:S42 CM41:CM42 CP41:CP42 CS41:CS42 J41:J42 J27:J30 CS27:CS30 CP27:CP30 CM27:CM30 S27:S30 CG27:CG30 CD27:CD30 CA27:CA30 BX27:BX30 BU27:BU30 BR27:BR30 BO27:BO30 BL27:BL30 BI27:BI30 BF27:BF30 BC27:BC30 AZ27:AZ30 AW27:AW30 AT27:AT30 AQ27:AQ30 AN27:AN30 AK27:AK30 AH27:AH30 AE27:AE30 AB27:AB30 Y27:Y30 V27:V30 CJ27:CJ30 M27:M30 P27:P30 DW27:DW30 DT27:DT30 DQ27:DQ30 DN27:DN30 DK27:DK30 DH27:DH30 DE27:DE30 DB27:DB30 CY27:CY30 CV27:CV30 J23:J25 CS23:CS25 CP23:CP25 CM23:CM25 S23:S25 CG23:CG25 CD23:CD25 CA23:CA25 BX23:BX25 BU23:BU25 BR23:BR25 BO23:BO25 BL23:BL25 BI23:BI25 BF23:BF25 BC23:BC25 AZ23:AZ25 AW23:AW25 AT23:AT25 AQ23:AQ25 AN23:AN25 AK23:AK25 AH23:AH25 AE23:AE25 AB23:AB25 Y23:Y25 V23:V25 CJ23:CJ25 M23:M25 P23:P25 DW23:DW25 DT23:DT25 DQ23:DQ25 DN23:DN25 DK23:DK25 DH23:DH25 DE23:DE25 DB23:DB25 CY23:CY25 CV23:CV25 J44:J45 CS44:CS45 CP44:CP45 CM44:CM45 S44:S45 CG44:CG45 CD44:CD45 CA44:CA45 BX44:BX45 BU44:BU45 BR44:BR45 BO44:BO45 BL44:BL45 BI44:BI45 BF44:BF45 BC44:BC45 AZ44:AZ45 AW44:AW45 AT44:AT45 AQ44:AQ45 AN44:AN45 AK44:AK45 AH44:AH45 AE44:AE45 AB44:AB45 Y44:Y45 V44:V45 CJ44:CJ45 M44:M45 P44:P45 DW44:DW45 DT44:DT45 DQ44:DQ45 DN44:DN45 DK44:DK45 DH44:DH45 DE44:DE45 DB44:DB45 CY44:CY45 CV44:CV45 J53:J55 CS53:CS55 CP53:CP55 CM53:CM55 S53:S55 CG53:CG55 CD53:CD55 CA53:CA55 BX53:BX55 BU53:BU55 BR53:BR55 BO53:BO55 BL53:BL55 BI53:BI55 BF53:BF55 BC53:BC55 AZ53:AZ55 AW53:AW55 AT53:AT55 AQ53:AQ55 AN53:AN55 AK53:AK55 AH53:AH55 AE53:AE55 AB53:AB55 Y53:Y55 V53:V55 CJ53:CJ55 M53:M55 P53:P55 DW53:DW55 DT53:DT55 DQ53:DQ55 DN53:DN55 DK53:DK55 DH53:DH55 DE53:DE55 DB53:DB55 CY53:CY55 CV53:CV55">
    <cfRule type="expression" dxfId="123" priority="186" stopIfTrue="1">
      <formula>J$1=TODAY()+DailyScrumDateModifier</formula>
    </cfRule>
    <cfRule type="expression" dxfId="122" priority="186" stopIfTrue="1">
      <formula>MOD(ROW(),2)</formula>
    </cfRule>
  </conditionalFormatting>
  <conditionalFormatting sqref="CW4:CW21 CZ4:CZ21 DC4:DC21 DF4:DF21 DI4:DI21 DL4:DL21 DO4:DO21 DR4:DR21 DU4:DU21 DX4:DX21 BV4:BV21 Q4:Q21 CK4:CK21 W4:W21 Z4:Z21 AC4:AC21 AF4:AF21 AI4:AI21 AL4:AL21 AO4:AO21 AR4:AR21 AU4:AU21 AX4:AX21 BA4:BA21 BD4:BD21 BG4:BG21 BJ4:BJ21 BM4:BM21 BP4:BP21 BS4:BS21 N4:N21 BY4:BY21 CB4:CB21 CE4:CE21 CH4:CH21 T4:T21 CN4:CN21 CQ4:CQ21 CT4:CT21 K4:K21 K48 CT48 CQ48 CN48 T48 CH48 CE48 CB48 BY48 N48 BS48 BP48 BM48 BJ48 BG48 BD48 BA48 AX48 AU48 AR48 AO48 AL48 AI48 AF48 AC48 Z48 W48 CK48 Q48 BV48 DX48 DU48 DR48 DO48 DL48 DI48 DF48 DC48 CZ48 CW48 K34:K38 CT34:CT38 CQ34:CQ38 CN34:CN38 T34:T38 CH34:CH38 CE34:CE38 CB34:CB38 BY34:BY38 N34:N38 BS34:BS38 BP34:BP38 BM34:BM38 BJ34:BJ38 BG34:BG38 BD34:BD38 BA34:BA38 AX34:AX38 AU34:AU38 AR34:AR38 AO34:AO38 AL34:AL38 AI34:AI38 AF34:AF38 AC34:AC38 Z34:Z38 W34:W38 CK34:CK38 Q34:Q38 BV34:BV38 DX34:DX38 DU34:DU38 DR34:DR38 DO34:DO38 DL34:DL38 DI34:DI38 DF34:DF38 DC34:DC38 CZ34:CZ38 CW34:CW38 CW57:CW59 CZ57:CZ59 DC57:DC59 DF57:DF59 DI57:DI59 DL57:DL59 DO57:DO59 DR57:DR59 DU57:DU59 DX57:DX59 BV57:BV59 Q57:Q59 CK57:CK59 W57:W59 Z57:Z59 AC57:AC59 AF57:AF59 AI57:AI59 AL57:AL59 AO57:AO59 AR57:AR59 AU57:AU59 AX57:AX59 BA57:BA59 BD57:BD59 BG57:BG59 BJ57:BJ59 BM57:BM59 BP57:BP59 BS57:BS59 N57:N59 BY57:BY59 CB57:CB59 CE57:CE59 CH57:CH59 T57:T59 CN57:CN59 CQ57:CQ59 CT57:CT59 K57:K59 CW51 CZ51 DC51 DF51 DI51 DL51 DO51 DR51 DU51 DX51 BV51 Q51 CK51 W51 Z51 AC51 AF51 AI51 AL51 AO51 AR51 AU51 AX51 BA51 BD51 BG51 BJ51 BM51 BP51 BS51 N51 BY51 CB51 CE51 CH51 T51 CN51 CQ51 CT51 K51 CW41:CW42 CZ41:CZ42 DC41:DC42 DF41:DF42 DI41:DI42 DL41:DL42 DO41:DO42 DR41:DR42 DU41:DU42 DX41:DX42 BV41:BV42 Q41:Q42 CK41:CK42 W41:W42 Z41:Z42 AC41:AC42 AF41:AF42 AI41:AI42 AL41:AL42 AO41:AO42 AR41:AR42 AU41:AU42 AX41:AX42 BA41:BA42 BD41:BD42 BG41:BG42 BJ41:BJ42 BM41:BM42 BP41:BP42 BS41:BS42 N41:N42 BY41:BY42 CB41:CB42 CE41:CE42 CH41:CH42 T41:T42 CN41:CN42 CQ41:CQ42 CT41:CT42 K41:K42 K27:K30 CT27:CT30 CQ27:CQ30 CN27:CN30 T27:T30 CH27:CH30 CE27:CE30 CB27:CB30 BY27:BY30 N27:N30 BS27:BS30 BP27:BP30 BM27:BM30 BJ27:BJ30 BG27:BG30 BD27:BD30 BA27:BA30 AX27:AX30 AU27:AU30 AR27:AR30 AO27:AO30 AL27:AL30 AI27:AI30 AF27:AF30 AC27:AC30 Z27:Z30 W27:W30 CK27:CK30 Q27:Q30 BV27:BV30 DX27:DX30 DU27:DU30 DR27:DR30 DO27:DO30 DL27:DL30 DI27:DI30 DF27:DF30 DC27:DC30 CZ27:CZ30 CW27:CW30 K23:K25 CT23:CT25 CQ23:CQ25 CN23:CN25 T23:T25 CH23:CH25 CE23:CE25 CB23:CB25 BY23:BY25 N23:N25 BS23:BS25 BP23:BP25 BM23:BM25 BJ23:BJ25 BG23:BG25 BD23:BD25 BA23:BA25 AX23:AX25 AU23:AU25 AR23:AR25 AO23:AO25 AL23:AL25 AI23:AI25 AF23:AF25 AC23:AC25 Z23:Z25 W23:W25 CK23:CK25 Q23:Q25 BV23:BV25 DX23:DX25 DU23:DU25 DR23:DR25 DO23:DO25 DL23:DL25 DI23:DI25 DF23:DF25 DC23:DC25 CZ23:CZ25 CW23:CW25 K44:K45 CT44:CT45 CQ44:CQ45 CN44:CN45 T44:T45 CH44:CH45 CE44:CE45 CB44:CB45 BY44:BY45 N44:N45 BS44:BS45 BP44:BP45 BM44:BM45 BJ44:BJ45 BG44:BG45 BD44:BD45 BA44:BA45 AX44:AX45 AU44:AU45 AR44:AR45 AO44:AO45 AL44:AL45 AI44:AI45 AF44:AF45 AC44:AC45 Z44:Z45 W44:W45 CK44:CK45 Q44:Q45 BV44:BV45 DX44:DX45 DU44:DU45 DR44:DR45 DO44:DO45 DL44:DL45 DI44:DI45 DF44:DF45 DC44:DC45 CZ44:CZ45 CW44:CW45 K53:K55 CT53:CT55 CQ53:CQ55 CN53:CN55 T53:T55 CH53:CH55 CE53:CE55 CB53:CB55 BY53:BY55 N53:N55 BS53:BS55 BP53:BP55 BM53:BM55 BJ53:BJ55 BG53:BG55 BD53:BD55 BA53:BA55 AX53:AX55 AU53:AU55 AR53:AR55 AO53:AO55 AL53:AL55 AI53:AI55 AF53:AF55 AC53:AC55 Z53:Z55 W53:W55 CK53:CK55 Q53:Q55 BV53:BV55 DX53:DX55 DU53:DU55 DR53:DR55 DO53:DO55 DL53:DL55 DI53:DI55 DF53:DF55 DC53:DC55 CZ53:CZ55 CW53:CW55">
    <cfRule type="expression" dxfId="121" priority="188" stopIfTrue="1">
      <formula>J$1=TODAY()+DailyScrumDateModifier</formula>
    </cfRule>
    <cfRule type="expression" dxfId="120" priority="188" stopIfTrue="1">
      <formula>MOD(ROW(),2)</formula>
    </cfRule>
  </conditionalFormatting>
  <conditionalFormatting sqref="EA4:EA21 H4:H21 H48 EA48 H34:H38 EA34:EA38 EA57:EA60 H57:H59 EA51 H51 EA41:EA42 H41:H42 H27:H30 EA27:EA30 H23:H25 EA23:EA25 H44:H45 EA44:EA45 H53:H55 EA53:EA55">
    <cfRule type="expression" dxfId="119" priority="190" stopIfTrue="1">
      <formula>MOD(ROW(),2)</formula>
    </cfRule>
  </conditionalFormatting>
  <conditionalFormatting sqref="DY4:DY21 DV4:DV21 DS4:DS21 DP4:DP21 DM4:DM21 DJ4:DJ21 DG4:DG21 DD4:DD21 DA4:DA21 CX4:CX21 X4:X21 U4:U21 R4:R21 O4:O21 CU4:CU21 CR4:CR21 CO4:CO21 CL4:CL21 CI4:CI21 CF4:CF21 CC4:CC21 BZ4:BZ21 BW4:BW21 BT4:BT21 BQ4:BQ21 BN4:BN21 BK4:BK21 BH4:BH21 BE4:BE21 BB4:BB21 AY4:AY21 AV4:AV21 AS4:AS21 AP4:AP21 AM4:AM21 AJ4:AJ21 AG4:AG21 AD4:AD21 AA4:AA21 L4:L21 L48 AA48 AD48 AG48 AJ48 AM48 AP48 AS48 AV48 AY48 BB48 BE48 BH48 BK48 BN48 BQ48 BT48 BW48 BZ48 CC48 CF48 CI48 CL48 CO48 CR48 CU48 O48 R48 U48 X48 CX48 DA48 DD48 DG48 DJ48 DM48 DP48 DS48 DV48 DY48 L34:L38 AA34:AA38 AD34:AD38 AG34:AG38 AJ34:AJ38 AM34:AM38 AP34:AP38 AS34:AS38 AV34:AV38 AY34:AY38 BB34:BB38 BE34:BE38 BH34:BH38 BK34:BK38 BN34:BN38 BQ34:BQ38 BT34:BT38 BW34:BW38 BZ34:BZ38 CC34:CC38 CF34:CF38 CI34:CI38 CL34:CL38 CO34:CO38 CR34:CR38 CU34:CU38 O34:O38 R34:R38 U34:U38 X34:X38 CX34:CX38 DA34:DA38 DD34:DD38 DG34:DG38 DJ34:DJ38 DM34:DM38 DP34:DP38 DS34:DS38 DV34:DV38 DY34:DY38 DY57:DY59 DV57:DV59 DS57:DS59 DP57:DP59 DM57:DM59 DJ57:DJ59 DG57:DG59 DD57:DD59 DA57:DA59 CX57:CX59 X57:X59 U57:U59 R57:R59 O57:O59 CU57:CU59 CR57:CR59 CO57:CO59 CL57:CL59 CI57:CI59 CF57:CF59 CC57:CC59 BZ57:BZ59 BW57:BW59 BT57:BT59 BQ57:BQ59 BN57:BN59 BK57:BK59 BH57:BH59 BE57:BE59 BB57:BB59 AY57:AY59 AV57:AV59 AS57:AS59 AP57:AP59 AM57:AM59 AJ57:AJ59 AG57:AG59 AD57:AD59 AA57:AA59 L57:L59 DY51 DV51 DS51 DP51 DM51 DJ51 DG51 DD51 DA51 CX51 X51 U51 R51 O51 CU51 CR51 CO51 CL51 CI51 CF51 CC51 BZ51 BW51 BT51 BQ51 BN51 BK51 BH51 BE51 BB51 AY51 AV51 AS51 AP51 AM51 AJ51 AG51 AD51 AA51 L51 DY41:DY42 DV41:DV42 DS41:DS42 DP41:DP42 DM41:DM42 DJ41:DJ42 DG41:DG42 DD41:DD42 DA41:DA42 CX41:CX42 X41:X42 U41:U42 R41:R42 O41:O42 CU41:CU42 CR41:CR42 CO41:CO42 CL41:CL42 CI41:CI42 CF41:CF42 CC41:CC42 BZ41:BZ42 BW41:BW42 BT41:BT42 BQ41:BQ42 BN41:BN42 BK41:BK42 BH41:BH42 BE41:BE42 BB41:BB42 AY41:AY42 AV41:AV42 AS41:AS42 AP41:AP42 AM41:AM42 AJ41:AJ42 AG41:AG42 AD41:AD42 AA41:AA42 L41:L42 L27:L30 AA27:AA30 AD27:AD30 AG27:AG30 AJ27:AJ30 AM27:AM30 AP27:AP30 AS27:AS30 AV27:AV30 AY27:AY30 BB27:BB30 BE27:BE30 BH27:BH30 BK27:BK30 BN27:BN30 BQ27:BQ30 BT27:BT30 BW27:BW30 BZ27:BZ30 CC27:CC30 CF27:CF30 CI27:CI30 CL27:CL30 CO27:CO30 CR27:CR30 CU27:CU30 O27:O30 R27:R30 U27:U30 X27:X30 CX27:CX30 DA27:DA30 DD27:DD30 DG27:DG30 DJ27:DJ30 DM27:DM30 DP27:DP30 DS27:DS30 DV27:DV30 DY27:DY30 L23:L25 AA23:AA25 AD23:AD25 AG23:AG25 AJ23:AJ25 AM23:AM25 AP23:AP25 AS23:AS25 AV23:AV25 AY23:AY25 BB23:BB25 BE23:BE25 BH23:BH25 BK23:BK25 BN23:BN25 BQ23:BQ25 BT23:BT25 BW23:BW25 BZ23:BZ25 CC23:CC25 CF23:CF25 CI23:CI25 CL23:CL25 CO23:CO25 CR23:CR25 CU23:CU25 O23:O25 R23:R25 U23:U25 X23:X25 CX23:CX25 DA23:DA25 DD23:DD25 DG23:DG25 DJ23:DJ25 DM23:DM25 DP23:DP25 DS23:DS25 DV23:DV25 DY23:DY25 L44:L45 AA44:AA45 AD44:AD45 AG44:AG45 AJ44:AJ45 AM44:AM45 AP44:AP45 AS44:AS45 AV44:AV45 AY44:AY45 BB44:BB45 BE44:BE45 BH44:BH45 BK44:BK45 BN44:BN45 BQ44:BQ45 BT44:BT45 BW44:BW45 BZ44:BZ45 CC44:CC45 CF44:CF45 CI44:CI45 CL44:CL45 CO44:CO45 CR44:CR45 CU44:CU45 O44:O45 R44:R45 U44:U45 X44:X45 CX44:CX45 DA44:DA45 DD44:DD45 DG44:DG45 DJ44:DJ45 DM44:DM45 DP44:DP45 DS44:DS45 DV44:DV45 DY44:DY45 L53:L55 AA53:AA55 AD53:AD55 AG53:AG55 AJ53:AJ55 AM53:AM55 AP53:AP55 AS53:AS55 AV53:AV55 AY53:AY55 BB53:BB55 BE53:BE55 BH53:BH55 BK53:BK55 BN53:BN55 BQ53:BQ55 BT53:BT55 BW53:BW55 BZ53:BZ55 CC53:CC55 CF53:CF55 CI53:CI55 CL53:CL55 CO53:CO55 CR53:CR55 CU53:CU55 O53:O55 R53:R55 U53:U55 X53:X55 CX53:CX55 DA53:DA55 DD53:DD55 DG53:DG55 DJ53:DJ55 DM53:DM55 DP53:DP55 DS53:DS55 DV53:DV55 DY53:DY55">
    <cfRule type="cellIs" dxfId="118" priority="191" stopIfTrue="1" operator="equal">
      <formula>"Pending"</formula>
    </cfRule>
    <cfRule type="cellIs" dxfId="117" priority="191" stopIfTrue="1" operator="equal">
      <formula>"In Progress"</formula>
    </cfRule>
    <cfRule type="cellIs" dxfId="116" priority="191" stopIfTrue="1" operator="equal">
      <formula>"Complete"</formula>
    </cfRule>
  </conditionalFormatting>
  <conditionalFormatting sqref="G4:G21 G23:G25 G27:G31">
    <cfRule type="cellIs" dxfId="115" priority="194" stopIfTrue="1" operator="equal">
      <formula>"Complete"</formula>
    </cfRule>
    <cfRule type="cellIs" dxfId="114" priority="194" stopIfTrue="1" operator="equal">
      <formula>"In Progress"</formula>
    </cfRule>
    <cfRule type="cellIs" dxfId="113" priority="194" stopIfTrue="1" operator="equal">
      <formula>"Pending"</formula>
    </cfRule>
  </conditionalFormatting>
  <conditionalFormatting sqref="J47 CS47 CP47 CM47 S47 CG47 CD47 CA47 BX47 BU47 BR47 BO47 BL47 BI47 BF47 BC47 AZ47 AW47 AT47 AQ47 AN47 AK47 AH47 AE47 AB47 Y47 V47 CJ47 M47 P47 DW47 DT47 DQ47 DN47 DK47 DH47 DE47 DB47 CY47 CV47">
    <cfRule type="expression" dxfId="112" priority="164" stopIfTrue="1">
      <formula>J$1=TODAY()+DailyScrumDateModifier</formula>
    </cfRule>
  </conditionalFormatting>
  <conditionalFormatting sqref="K47 CT47 CQ47 CN47 T47 CH47 CE47 CB47 BY47 N47 BS47 BP47 BM47 BJ47 BG47 BD47 BA47 AX47 AU47 AR47 AO47 AL47 AI47 AF47 AC47 Z47 W47 CK47 Q47 BV47 DX47 DU47 DR47 DO47 DL47 DI47 DF47 DC47 CZ47 CW47">
    <cfRule type="expression" dxfId="111" priority="165" stopIfTrue="1">
      <formula>J$1=TODAY()+DailyScrumDateModifier</formula>
    </cfRule>
  </conditionalFormatting>
  <conditionalFormatting sqref="H47 EA47">
    <cfRule type="expression" dxfId="110" priority="166" stopIfTrue="1">
      <formula>MOD(ROW(),2)</formula>
    </cfRule>
  </conditionalFormatting>
  <conditionalFormatting sqref="L47 AA47 AD47 AG47 AJ47 AM47 AP47 AS47 AV47 AY47 BB47 BE47 BH47 BK47 BN47 BQ47 BT47 BW47 BZ47 CC47 CF47 CI47 CL47 CO47 CR47 CU47 O47 R47 U47 X47 CX47 DA47 DD47 DG47 DJ47 DM47 DP47 DS47 DV47 DY47">
    <cfRule type="cellIs" dxfId="109" priority="167" stopIfTrue="1" operator="equal">
      <formula>"Pending"</formula>
    </cfRule>
  </conditionalFormatting>
  <conditionalFormatting sqref="J31 CS31 CP31 CM31 S31 CG31 CD31 CA31 BX31 BU31 BR31 BO31 BL31 BI31 BF31 BC31 AZ31 AW31 AT31 AQ31 AN31 AK31 AH31 AE31 AB31 Y31 V31 CJ31 M31 P31 DW31 DT31 DQ31 DN31 DK31 DH31 DE31 DB31 CY31 CV31">
    <cfRule type="expression" dxfId="108" priority="153" stopIfTrue="1">
      <formula>J$1=TODAY()+DailyScrumDateModifier</formula>
    </cfRule>
  </conditionalFormatting>
  <conditionalFormatting sqref="K31 CT31 CQ31 CN31 T31 CH31 CE31 CB31 BY31 N31 BS31 BP31 BM31 BJ31 BG31 BD31 BA31 AX31 AU31 AR31 AO31 AL31 AI31 AF31 AC31 Z31 W31 CK31 Q31 BV31 DX31 DU31 DR31 DO31 DL31 DI31 DF31 DC31 CZ31 CW31">
    <cfRule type="expression" dxfId="107" priority="154" stopIfTrue="1">
      <formula>J$1=TODAY()+DailyScrumDateModifier</formula>
    </cfRule>
  </conditionalFormatting>
  <conditionalFormatting sqref="H31 EA31">
    <cfRule type="expression" dxfId="106" priority="155" stopIfTrue="1">
      <formula>MOD(ROW(),2)</formula>
    </cfRule>
  </conditionalFormatting>
  <conditionalFormatting sqref="L31 AA31 AD31 AG31 AJ31 AM31 AP31 AS31 AV31 AY31 BB31 BE31 BH31 BK31 BN31 BQ31 BT31 BW31 BZ31 CC31 CF31 CI31 CL31 CO31 CR31 CU31 O31 R31 U31 X31 CX31 DA31 DD31 DG31 DJ31 DM31 DP31 DS31 DV31 DY31">
    <cfRule type="cellIs" dxfId="105" priority="156" stopIfTrue="1" operator="equal">
      <formula>"Pending"</formula>
    </cfRule>
  </conditionalFormatting>
  <conditionalFormatting sqref="CV56 CY56 DB56 DE56 DH56 DK56 DN56 DQ56 DT56 DW56 P56 M56 CJ56 V56 Y56 AB56 AE56 AH56 AK56 AN56 AQ56 AT56 AW56 AZ56 BC56 BF56 BI56 BL56 BO56 BR56 BU56 BX56 CA56 CD56 CG56 S56 CM56 CP56 CS56 J56">
    <cfRule type="expression" dxfId="104" priority="142" stopIfTrue="1">
      <formula>J$1=TODAY()+DailyScrumDateModifier</formula>
    </cfRule>
  </conditionalFormatting>
  <conditionalFormatting sqref="CW56 CZ56 DC56 DF56 DI56 DL56 DO56 DR56 DU56 DX56 BV56 Q56 CK56 W56 Z56 AC56 AF56 AI56 AL56 AO56 AR56 AU56 AX56 BA56 BD56 BG56 BJ56 BM56 BP56 BS56 N56 BY56 CB56 CE56 CH56 T56 CN56 CQ56 CT56 K56">
    <cfRule type="expression" dxfId="103" priority="143" stopIfTrue="1">
      <formula>J$1=TODAY()+DailyScrumDateModifier</formula>
    </cfRule>
  </conditionalFormatting>
  <conditionalFormatting sqref="EA56 H56">
    <cfRule type="expression" dxfId="102" priority="144" stopIfTrue="1">
      <formula>MOD(ROW(),2)</formula>
    </cfRule>
  </conditionalFormatting>
  <conditionalFormatting sqref="DY56 DV56 DS56 DP56 DM56 DJ56 DG56 DD56 DA56 CX56 X56 U56 R56 O56 CU56 CR56 CO56 CL56 CI56 CF56 CC56 BZ56 BW56 BT56 BQ56 BN56 BK56 BH56 BE56 BB56 AY56 AV56 AS56 AP56 AM56 AJ56 AG56 AD56 AA56 L56">
    <cfRule type="cellIs" dxfId="101" priority="145" stopIfTrue="1" operator="equal">
      <formula>"Pending"</formula>
    </cfRule>
  </conditionalFormatting>
  <conditionalFormatting sqref="CV49 CY49 DB49 DE49 DH49 DK49 DN49 DQ49 DT49 DW49 P49 M49 CJ49 V49 Y49 AB49 AE49 AH49 AK49 AN49 AQ49 AT49 AW49 AZ49 BC49 BF49 BI49 BL49 BO49 BR49 BU49 BX49 CA49 CD49 CG49 S49 CM49 CP49 CS49 J49">
    <cfRule type="expression" dxfId="100" priority="131" stopIfTrue="1">
      <formula>J$1=TODAY()+DailyScrumDateModifier</formula>
    </cfRule>
  </conditionalFormatting>
  <conditionalFormatting sqref="CW49 CZ49 DC49 DF49 DI49 DL49 DO49 DR49 DU49 DX49 BV49 Q49 CK49 W49 Z49 AC49 AF49 AI49 AL49 AO49 AR49 AU49 AX49 BA49 BD49 BG49 BJ49 BM49 BP49 BS49 N49 BY49 CB49 CE49 CH49 T49 CN49 CQ49 CT49 K49">
    <cfRule type="expression" dxfId="99" priority="132" stopIfTrue="1">
      <formula>J$1=TODAY()+DailyScrumDateModifier</formula>
    </cfRule>
  </conditionalFormatting>
  <conditionalFormatting sqref="EA49 H49">
    <cfRule type="expression" dxfId="98" priority="133" stopIfTrue="1">
      <formula>MOD(ROW(),2)</formula>
    </cfRule>
  </conditionalFormatting>
  <conditionalFormatting sqref="DY49 DV49 DS49 DP49 DM49 DJ49 DG49 DD49 DA49 CX49 X49 U49 R49 O49 CU49 CR49 CO49 CL49 CI49 CF49 CC49 BZ49 BW49 BT49 BQ49 BN49 BK49 BH49 BE49 BB49 AY49 AV49 AS49 AP49 AM49 AJ49 AG49 AD49 AA49 L49">
    <cfRule type="cellIs" dxfId="97" priority="134" stopIfTrue="1" operator="equal">
      <formula>"Pending"</formula>
    </cfRule>
  </conditionalFormatting>
  <conditionalFormatting sqref="J46 CS46 CP46 CM46 S46 CG46 CD46 CA46 BX46 BU46 BR46 BO46 BL46 BI46 BF46 BC46 AZ46 AW46 AT46 AQ46 AN46 AK46 AH46 AE46 AB46 Y46 V46 CJ46 M46 P46 DW46 DT46 DQ46 DN46 DK46 DH46 DE46 DB46 CY46 CV46">
    <cfRule type="expression" dxfId="96" priority="120" stopIfTrue="1">
      <formula>J$1=TODAY()+DailyScrumDateModifier</formula>
    </cfRule>
    <cfRule type="expression" dxfId="95" priority="129" stopIfTrue="1">
      <formula>MOD(ROW(),2)</formula>
    </cfRule>
  </conditionalFormatting>
  <conditionalFormatting sqref="K46 CT46 CQ46 CN46 T46 CH46 CE46 CB46 BY46 N46 BS46 BP46 BM46 BJ46 BG46 BD46 BA46 AX46 AU46 AR46 AO46 AL46 AI46 AF46 AC46 Z46 W46 CK46 Q46 BV46 DX46 DU46 DR46 DO46 DL46 DI46 DF46 DC46 CZ46 CW46">
    <cfRule type="expression" dxfId="94" priority="121" stopIfTrue="1">
      <formula>J$1=TODAY()+DailyScrumDateModifier</formula>
    </cfRule>
    <cfRule type="expression" dxfId="93" priority="127" stopIfTrue="1">
      <formula>MOD(ROW(),2)</formula>
    </cfRule>
  </conditionalFormatting>
  <conditionalFormatting sqref="H46 EA46">
    <cfRule type="expression" dxfId="92" priority="122" stopIfTrue="1">
      <formula>MOD(ROW(),2)</formula>
    </cfRule>
  </conditionalFormatting>
  <conditionalFormatting sqref="L46 AA46 AD46 AG46 AJ46 AM46 AP46 AS46 AV46 AY46 BB46 BE46 BH46 BK46 BN46 BQ46 BT46 BW46 BZ46 CC46 CF46 CI46 CL46 CO46 CR46 CU46 O46 R46 U46 X46 CX46 DA46 DD46 DG46 DJ46 DM46 DP46 DS46 DV46 DY46">
    <cfRule type="cellIs" dxfId="91" priority="123" stopIfTrue="1" operator="equal">
      <formula>"In Progress"</formula>
    </cfRule>
    <cfRule type="cellIs" dxfId="90" priority="123" stopIfTrue="1" operator="equal">
      <formula>"Pending"</formula>
    </cfRule>
    <cfRule type="cellIs" dxfId="89" priority="124" stopIfTrue="1" operator="equal">
      <formula>"Complete"</formula>
    </cfRule>
  </conditionalFormatting>
  <conditionalFormatting sqref="CV50 CY50 DB50 DE50 DH50 DK50 DN50 DQ50 DT50 DW50 P50 M50 CJ50 V50 Y50 AB50 AE50 AH50 AK50 AN50 AQ50 AT50 AW50 AZ50 BC50 BF50 BI50 BL50 BO50 BR50 BU50 BX50 CA50 CD50 CG50 S50 CM50 CP50 CS50 J50">
    <cfRule type="expression" dxfId="88" priority="109" stopIfTrue="1">
      <formula>J$1=TODAY()+DailyScrumDateModifier</formula>
    </cfRule>
  </conditionalFormatting>
  <conditionalFormatting sqref="CW50 CZ50 DC50 DF50 DI50 DL50 DO50 DR50 DU50 DX50 BV50 Q50 CK50 W50 Z50 AC50 AF50 AI50 AL50 AO50 AR50 AU50 AX50 BA50 BD50 BG50 BJ50 BM50 BP50 BS50 N50 BY50 CB50 CE50 CH50 T50 CN50 CQ50 CT50 K50">
    <cfRule type="expression" dxfId="87" priority="110" stopIfTrue="1">
      <formula>J$1=TODAY()+DailyScrumDateModifier</formula>
    </cfRule>
  </conditionalFormatting>
  <conditionalFormatting sqref="EA50 H50">
    <cfRule type="expression" dxfId="86" priority="111" stopIfTrue="1">
      <formula>MOD(ROW(),2)</formula>
    </cfRule>
  </conditionalFormatting>
  <conditionalFormatting sqref="DY50 DV50 DS50 DP50 DM50 DJ50 DG50 DD50 DA50 CX50 X50 U50 R50 O50 CU50 CR50 CO50 CL50 CI50 CF50 CC50 BZ50 BW50 BT50 BQ50 BN50 BK50 BH50 BE50 BB50 AY50 AV50 AS50 AP50 AM50 AJ50 AG50 AD50 AA50 L50">
    <cfRule type="cellIs" dxfId="85" priority="112" stopIfTrue="1" operator="equal">
      <formula>"Pending"</formula>
    </cfRule>
  </conditionalFormatting>
  <conditionalFormatting sqref="J33 CS33 CP33 CM33 S33 CG33 CD33 CA33 BX33 BU33 BR33 BO33 BL33 BI33 BF33 BC33 AZ33 AW33 AT33 AQ33 AN33 AK33 AH33 AE33 AB33 Y33 V33 CJ33 M33 P33 DW33 DT33 DQ33 DN33 DK33 DH33 DE33 DB33 CY33 CV33">
    <cfRule type="expression" dxfId="84" priority="98" stopIfTrue="1">
      <formula>J$1=TODAY()+DailyScrumDateModifier</formula>
    </cfRule>
  </conditionalFormatting>
  <conditionalFormatting sqref="K33 CT33 CQ33 CN33 T33 CH33 CE33 CB33 BY33 N33 BS33 BP33 BM33 BJ33 BG33 BD33 BA33 AX33 AU33 AR33 AO33 AL33 AI33 AF33 AC33 Z33 W33 CK33 Q33 BV33 DX33 DU33 DR33 DO33 DL33 DI33 DF33 DC33 CZ33 CW33">
    <cfRule type="expression" dxfId="83" priority="99" stopIfTrue="1">
      <formula>J$1=TODAY()+DailyScrumDateModifier</formula>
    </cfRule>
  </conditionalFormatting>
  <conditionalFormatting sqref="H33 EA33">
    <cfRule type="expression" dxfId="82" priority="100" stopIfTrue="1">
      <formula>MOD(ROW(),2)</formula>
    </cfRule>
  </conditionalFormatting>
  <conditionalFormatting sqref="L33 AA33 AD33 AG33 AJ33 AM33 AP33 AS33 AV33 AY33 BB33 BE33 BH33 BK33 BN33 BQ33 BT33 BW33 BZ33 CC33 CF33 CI33 CL33 CO33 CR33 CU33 O33 R33 U33 X33 CX33 DA33 DD33 DG33 DJ33 DM33 DP33 DS33 DV33 DY33">
    <cfRule type="cellIs" dxfId="81" priority="101" stopIfTrue="1" operator="equal">
      <formula>"Pending"</formula>
    </cfRule>
  </conditionalFormatting>
  <conditionalFormatting sqref="CV39 CY39 DB39 DE39 DH39 DK39 DN39 DQ39 DT39 DW39 P39 M39 CJ39 V39 Y39 AB39 AE39 AH39 AK39 AN39 AQ39 AT39 AW39 AZ39 BC39 BF39 BI39 BL39 BO39 BR39 BU39 BX39 CA39 CD39 CG39 S39 CM39 CP39 CS39 J39">
    <cfRule type="expression" dxfId="80" priority="87" stopIfTrue="1">
      <formula>J$1=TODAY()+DailyScrumDateModifier</formula>
    </cfRule>
  </conditionalFormatting>
  <conditionalFormatting sqref="CW39 CZ39 DC39 DF39 DI39 DL39 DO39 DR39 DU39 DX39 BV39 Q39 CK39 W39 Z39 AC39 AF39 AI39 AL39 AO39 AR39 AU39 AX39 BA39 BD39 BG39 BJ39 BM39 BP39 BS39 N39 BY39 CB39 CE39 CH39 T39 CN39 CQ39 CT39 K39">
    <cfRule type="expression" dxfId="79" priority="88" stopIfTrue="1">
      <formula>J$1=TODAY()+DailyScrumDateModifier</formula>
    </cfRule>
  </conditionalFormatting>
  <conditionalFormatting sqref="EA39 H39">
    <cfRule type="expression" dxfId="78" priority="89" stopIfTrue="1">
      <formula>MOD(ROW(),2)</formula>
    </cfRule>
  </conditionalFormatting>
  <conditionalFormatting sqref="DY39 DV39 DS39 DP39 DM39 DJ39 DG39 DD39 DA39 CX39 X39 U39 R39 O39 CU39 CR39 CO39 CL39 CI39 CF39 CC39 BZ39 BW39 BT39 BQ39 BN39 BK39 BH39 BE39 BB39 AY39 AV39 AS39 AP39 AM39 AJ39 AG39 AD39 AA39 L39">
    <cfRule type="cellIs" dxfId="77" priority="90" stopIfTrue="1" operator="equal">
      <formula>"Pending"</formula>
    </cfRule>
  </conditionalFormatting>
  <conditionalFormatting sqref="J32 CS32 CP32 CM32 S32 CG32 CD32 CA32 BX32 BU32 BR32 BO32 BL32 BI32 BF32 BC32 AZ32 AW32 AT32 AQ32 AN32 AK32 AH32 AE32 AB32 Y32 V32 CJ32 M32 P32 DW32 DT32 DQ32 DN32 DK32 DH32 DE32 DB32 CY32 CV32">
    <cfRule type="expression" dxfId="76" priority="76" stopIfTrue="1">
      <formula>J$1=TODAY()+DailyScrumDateModifier</formula>
    </cfRule>
    <cfRule type="expression" dxfId="75" priority="85" stopIfTrue="1">
      <formula>MOD(ROW(),2)</formula>
    </cfRule>
  </conditionalFormatting>
  <conditionalFormatting sqref="K32 CT32 CQ32 CN32 T32 CH32 CE32 CB32 BY32 N32 BS32 BP32 BM32 BJ32 BG32 BD32 BA32 AX32 AU32 AR32 AO32 AL32 AI32 AF32 AC32 Z32 W32 CK32 Q32 BV32 DX32 DU32 DR32 DO32 DL32 DI32 DF32 DC32 CZ32 CW32">
    <cfRule type="expression" dxfId="74" priority="77" stopIfTrue="1">
      <formula>J$1=TODAY()+DailyScrumDateModifier</formula>
    </cfRule>
    <cfRule type="expression" dxfId="73" priority="83" stopIfTrue="1">
      <formula>MOD(ROW(),2)</formula>
    </cfRule>
  </conditionalFormatting>
  <conditionalFormatting sqref="H32 EA32">
    <cfRule type="expression" dxfId="72" priority="78" stopIfTrue="1">
      <formula>MOD(ROW(),2)</formula>
    </cfRule>
  </conditionalFormatting>
  <conditionalFormatting sqref="L32 AA32 AD32 AG32 AJ32 AM32 AP32 AS32 AV32 AY32 BB32 BE32 BH32 BK32 BN32 BQ32 BT32 BW32 BZ32 CC32 CF32 CI32 CL32 CO32 CR32 CU32 O32 R32 U32 X32 CX32 DA32 DD32 DG32 DJ32 DM32 DP32 DS32 DV32 DY32">
    <cfRule type="cellIs" dxfId="71" priority="79" stopIfTrue="1" operator="equal">
      <formula>"In Progress"</formula>
    </cfRule>
    <cfRule type="cellIs" dxfId="70" priority="79" stopIfTrue="1" operator="equal">
      <formula>"Pending"</formula>
    </cfRule>
    <cfRule type="cellIs" dxfId="69" priority="80" stopIfTrue="1" operator="equal">
      <formula>"Complete"</formula>
    </cfRule>
  </conditionalFormatting>
  <conditionalFormatting sqref="G32:G59">
    <cfRule type="cellIs" dxfId="68" priority="196" stopIfTrue="1" operator="equal">
      <formula>"In Progress"</formula>
    </cfRule>
    <cfRule type="cellIs" dxfId="67" priority="196" stopIfTrue="1" operator="equal">
      <formula>"Pending"</formula>
    </cfRule>
    <cfRule type="cellIs" dxfId="66" priority="196" stopIfTrue="1" operator="equal">
      <formula>"Complete"</formula>
    </cfRule>
  </conditionalFormatting>
  <conditionalFormatting sqref="CV40 CY40 DB40 DE40 DH40 DK40 DN40 DQ40 DT40 DW40 P40 M40 CJ40 V40 Y40 AB40 AE40 AH40 AK40 AN40 AQ40 AT40 AW40 AZ40 BC40 BF40 BI40 BL40 BO40 BR40 BU40 BX40 CA40 CD40 CG40 S40 CM40 CP40 CS40 J40">
    <cfRule type="expression" dxfId="65" priority="65" stopIfTrue="1">
      <formula>J$1=TODAY()+DailyScrumDateModifier</formula>
    </cfRule>
  </conditionalFormatting>
  <conditionalFormatting sqref="CW40 CZ40 DC40 DF40 DI40 DL40 DO40 DR40 DU40 DX40 BV40 Q40 CK40 W40 Z40 AC40 AF40 AI40 AL40 AO40 AR40 AU40 AX40 BA40 BD40 BG40 BJ40 BM40 BP40 BS40 N40 BY40 CB40 CE40 CH40 T40 CN40 CQ40 CT40 K40">
    <cfRule type="expression" dxfId="64" priority="66" stopIfTrue="1">
      <formula>J$1=TODAY()+DailyScrumDateModifier</formula>
    </cfRule>
  </conditionalFormatting>
  <conditionalFormatting sqref="EA40 H40">
    <cfRule type="expression" dxfId="63" priority="67" stopIfTrue="1">
      <formula>MOD(ROW(),2)</formula>
    </cfRule>
  </conditionalFormatting>
  <conditionalFormatting sqref="DY40 DV40 DS40 DP40 DM40 DJ40 DG40 DD40 DA40 CX40 X40 U40 R40 O40 CU40 CR40 CO40 CL40 CI40 CF40 CC40 BZ40 BW40 BT40 BQ40 BN40 BK40 BH40 BE40 BB40 AY40 AV40 AS40 AP40 AM40 AJ40 AG40 AD40 AA40 L40">
    <cfRule type="cellIs" dxfId="62" priority="68" stopIfTrue="1" operator="equal">
      <formula>"Pending"</formula>
    </cfRule>
  </conditionalFormatting>
  <conditionalFormatting sqref="J26 CS26 CP26 CM26 S26 CG26 CD26 CA26 BX26 BU26 BR26 BO26 BL26 BI26 BF26 BC26 AZ26 AW26 AT26 AQ26 AN26 AK26 AH26 AE26 AB26 Y26 V26 CJ26 M26 P26 DW26 DT26 DQ26 DN26 DK26 DH26 DE26 DB26 CY26 CV26">
    <cfRule type="expression" dxfId="61" priority="54" stopIfTrue="1">
      <formula>J$1=TODAY()+DailyScrumDateModifier</formula>
    </cfRule>
  </conditionalFormatting>
  <conditionalFormatting sqref="K26 CT26 CQ26 CN26 T26 CH26 CE26 CB26 BY26 N26 BS26 BP26 BM26 BJ26 BG26 BD26 BA26 AX26 AU26 AR26 AO26 AL26 AI26 AF26 AC26 Z26 W26 CK26 Q26 BV26 DX26 DU26 DR26 DO26 DL26 DI26 DF26 DC26 CZ26 CW26">
    <cfRule type="expression" dxfId="60" priority="55" stopIfTrue="1">
      <formula>J$1=TODAY()+DailyScrumDateModifier</formula>
    </cfRule>
  </conditionalFormatting>
  <conditionalFormatting sqref="H26 EA26">
    <cfRule type="expression" dxfId="59" priority="56" stopIfTrue="1">
      <formula>MOD(ROW(),2)</formula>
    </cfRule>
  </conditionalFormatting>
  <conditionalFormatting sqref="L26 AA26 AD26 AG26 AJ26 AM26 AP26 AS26 AV26 AY26 BB26 BE26 BH26 BK26 BN26 BQ26 BT26 BW26 BZ26 CC26 CF26 CI26 CL26 CO26 CR26 CU26 O26 R26 U26 X26 CX26 DA26 DD26 DG26 DJ26 DM26 DP26 DS26 DV26 DY26">
    <cfRule type="cellIs" dxfId="58" priority="57" stopIfTrue="1" operator="equal">
      <formula>"Pending"</formula>
    </cfRule>
  </conditionalFormatting>
  <conditionalFormatting sqref="G26">
    <cfRule type="cellIs" dxfId="57" priority="58" stopIfTrue="1" operator="equal">
      <formula>"Complete"</formula>
    </cfRule>
  </conditionalFormatting>
  <conditionalFormatting sqref="J22 CS22 CP22 CM22 S22 CG22 CD22 CA22 BX22 BU22 BR22 BO22 BL22 BI22 BF22 BC22 AZ22 AW22 AT22 AQ22 AN22 AK22 AH22 AE22 AB22 Y22 V22 CJ22 M22 P22 DW22 DT22 DQ22 DN22 DK22 DH22 DE22 DB22 CY22 CV22">
    <cfRule type="expression" dxfId="56" priority="43" stopIfTrue="1">
      <formula>J$1=TODAY()+DailyScrumDateModifier</formula>
    </cfRule>
  </conditionalFormatting>
  <conditionalFormatting sqref="K22 CT22 CQ22 CN22 T22 CH22 CE22 CB22 BY22 N22 BS22 BP22 BM22 BJ22 BG22 BD22 BA22 AX22 AU22 AR22 AO22 AL22 AI22 AF22 AC22 Z22 W22 CK22 Q22 BV22 DX22 DU22 DR22 DO22 DL22 DI22 DF22 DC22 CZ22 CW22">
    <cfRule type="expression" dxfId="55" priority="44" stopIfTrue="1">
      <formula>J$1=TODAY()+DailyScrumDateModifier</formula>
    </cfRule>
  </conditionalFormatting>
  <conditionalFormatting sqref="H22 EA22">
    <cfRule type="expression" dxfId="54" priority="45" stopIfTrue="1">
      <formula>MOD(ROW(),2)</formula>
    </cfRule>
  </conditionalFormatting>
  <conditionalFormatting sqref="L22 AA22 AD22 AG22 AJ22 AM22 AP22 AS22 AV22 AY22 BB22 BE22 BH22 BK22 BN22 BQ22 BT22 BW22 BZ22 CC22 CF22 CI22 CL22 CO22 CR22 CU22 O22 R22 U22 X22 CX22 DA22 DD22 DG22 DJ22 DM22 DP22 DS22 DV22 DY22">
    <cfRule type="cellIs" dxfId="53" priority="46" stopIfTrue="1" operator="equal">
      <formula>"Pending"</formula>
    </cfRule>
  </conditionalFormatting>
  <conditionalFormatting sqref="G22">
    <cfRule type="cellIs" dxfId="52" priority="47" stopIfTrue="1" operator="equal">
      <formula>"Complete"</formula>
    </cfRule>
  </conditionalFormatting>
  <conditionalFormatting sqref="J43 CS43 CP43 CM43 S43 CG43 CD43 CA43 BX43 BU43 BR43 BO43 BL43 BI43 BF43 BC43 AZ43 AW43 AT43 AQ43 AN43 AK43 AH43 AE43 AB43 Y43 V43 CJ43 M43 P43 DW43 DT43 DQ43 DN43 DK43 DH43 DE43 DB43 CY43 CV43">
    <cfRule type="expression" dxfId="51" priority="32" stopIfTrue="1">
      <formula>J$1=TODAY()+DailyScrumDateModifier</formula>
    </cfRule>
  </conditionalFormatting>
  <conditionalFormatting sqref="K43 CT43 CQ43 CN43 T43 CH43 CE43 CB43 BY43 N43 BS43 BP43 BM43 BJ43 BG43 BD43 BA43 AX43 AU43 AR43 AO43 AL43 AI43 AF43 AC43 Z43 W43 CK43 Q43 BV43 DX43 DU43 DR43 DO43 DL43 DI43 DF43 DC43 CZ43 CW43">
    <cfRule type="expression" dxfId="50" priority="33" stopIfTrue="1">
      <formula>J$1=TODAY()+DailyScrumDateModifier</formula>
    </cfRule>
  </conditionalFormatting>
  <conditionalFormatting sqref="H43 EA43">
    <cfRule type="expression" dxfId="49" priority="34" stopIfTrue="1">
      <formula>MOD(ROW(),2)</formula>
    </cfRule>
  </conditionalFormatting>
  <conditionalFormatting sqref="L43 AA43 AD43 AG43 AJ43 AM43 AP43 AS43 AV43 AY43 BB43 BE43 BH43 BK43 BN43 BQ43 BT43 BW43 BZ43 CC43 CF43 CI43 CL43 CO43 CR43 CU43 O43 R43 U43 X43 CX43 DA43 DD43 DG43 DJ43 DM43 DP43 DS43 DV43 DY43">
    <cfRule type="cellIs" dxfId="48" priority="35" stopIfTrue="1" operator="equal">
      <formula>"Pending"</formula>
    </cfRule>
  </conditionalFormatting>
  <conditionalFormatting sqref="J52 CS52 CP52 CM52 S52 CG52 CD52 CA52 BX52 BU52 BR52 BO52 BL52 BI52 BF52 BC52 AZ52 AW52 AT52 AQ52 AN52 AK52 AH52 AE52 AB52 Y52 V52 CJ52 M52 P52 DW52 DT52 DQ52 DN52 DK52 DH52 DE52 DB52 CY52 CV52">
    <cfRule type="expression" dxfId="47" priority="21" stopIfTrue="1">
      <formula>J$1=TODAY()+DailyScrumDateModifier</formula>
    </cfRule>
  </conditionalFormatting>
  <conditionalFormatting sqref="K52 CT52 CQ52 CN52 T52 CH52 CE52 CB52 BY52 N52 BS52 BP52 BM52 BJ52 BG52 BD52 BA52 AX52 AU52 AR52 AO52 AL52 AI52 AF52 AC52 Z52 W52 CK52 Q52 BV52 DX52 DU52 DR52 DO52 DL52 DI52 DF52 DC52 CZ52 CW52">
    <cfRule type="expression" dxfId="46" priority="22" stopIfTrue="1">
      <formula>J$1=TODAY()+DailyScrumDateModifier</formula>
    </cfRule>
  </conditionalFormatting>
  <conditionalFormatting sqref="H52 EA52">
    <cfRule type="expression" dxfId="45" priority="23" stopIfTrue="1">
      <formula>MOD(ROW(),2)</formula>
    </cfRule>
  </conditionalFormatting>
  <conditionalFormatting sqref="L52 AA52 AD52 AG52 AJ52 AM52 AP52 AS52 AV52 AY52 BB52 BE52 BH52 BK52 BN52 BQ52 BT52 BW52 BZ52 CC52 CF52 CI52 CL52 CO52 CR52 CU52 O52 R52 U52 X52 CX52 DA52 DD52 DG52 DJ52 DM52 DP52 DS52 DV52 DY52">
    <cfRule type="cellIs" dxfId="44" priority="24" stopIfTrue="1" operator="equal">
      <formula>"Pending"</formula>
    </cfRule>
  </conditionalFormatting>
  <conditionalFormatting sqref="A4:E6 A44:E46 A8:E41 D47:D53 A51:C53 E51:E53 A55:E59">
    <cfRule type="expression" dxfId="43" priority="20" stopIfTrue="1">
      <formula>MOD(ROW(),2)</formula>
    </cfRule>
  </conditionalFormatting>
  <conditionalFormatting sqref="A7:E7 D9">
    <cfRule type="expression" dxfId="42" priority="19" stopIfTrue="1">
      <formula>MOD(ROW(),2)</formula>
    </cfRule>
  </conditionalFormatting>
  <conditionalFormatting sqref="A42:E42">
    <cfRule type="expression" dxfId="41" priority="18" stopIfTrue="1">
      <formula>MOD(ROW(),2)</formula>
    </cfRule>
  </conditionalFormatting>
  <conditionalFormatting sqref="A43:E43">
    <cfRule type="expression" dxfId="40" priority="17" stopIfTrue="1">
      <formula>MOD(ROW(),2)</formula>
    </cfRule>
  </conditionalFormatting>
  <conditionalFormatting sqref="A47:E47">
    <cfRule type="expression" dxfId="39" priority="16" stopIfTrue="1">
      <formula>MOD(ROW(),2)</formula>
    </cfRule>
  </conditionalFormatting>
  <conditionalFormatting sqref="A50:E50">
    <cfRule type="expression" dxfId="38" priority="15" stopIfTrue="1">
      <formula>MOD(ROW(),2)</formula>
    </cfRule>
  </conditionalFormatting>
  <conditionalFormatting sqref="A49:E49">
    <cfRule type="expression" dxfId="37" priority="14" stopIfTrue="1">
      <formula>MOD(ROW(),2)</formula>
    </cfRule>
  </conditionalFormatting>
  <conditionalFormatting sqref="A48:E48">
    <cfRule type="expression" dxfId="36" priority="13" stopIfTrue="1">
      <formula>MOD(ROW(),2)</formula>
    </cfRule>
  </conditionalFormatting>
  <conditionalFormatting sqref="D4:D53 D55:D59">
    <cfRule type="colorScale" priority="12">
      <colorScale>
        <cfvo type="min"/>
        <cfvo type="percentile" val="50"/>
        <cfvo type="max"/>
        <color rgb="FFF8696B"/>
        <color rgb="FFFFEB84"/>
        <color rgb="FF63BE7B"/>
      </colorScale>
    </cfRule>
  </conditionalFormatting>
  <conditionalFormatting sqref="A54:E54">
    <cfRule type="expression" dxfId="35" priority="11" stopIfTrue="1">
      <formula>MOD(ROW(),2)</formula>
    </cfRule>
  </conditionalFormatting>
  <conditionalFormatting sqref="D54">
    <cfRule type="colorScale" priority="10">
      <colorScale>
        <cfvo type="min"/>
        <cfvo type="percentile" val="50"/>
        <cfvo type="max"/>
        <color rgb="FFF8696B"/>
        <color rgb="FFFFEB84"/>
        <color rgb="FF63BE7B"/>
      </colorScale>
    </cfRule>
  </conditionalFormatting>
  <conditionalFormatting sqref="I4:I6 I8:I41 I44:I46 I51:I53 I55:I59">
    <cfRule type="expression" dxfId="34" priority="9" stopIfTrue="1">
      <formula>MOD(ROW(),2)</formula>
    </cfRule>
  </conditionalFormatting>
  <conditionalFormatting sqref="I7">
    <cfRule type="expression" dxfId="33" priority="8" stopIfTrue="1">
      <formula>MOD(ROW(),2)</formula>
    </cfRule>
  </conditionalFormatting>
  <conditionalFormatting sqref="I42">
    <cfRule type="expression" dxfId="32" priority="7" stopIfTrue="1">
      <formula>MOD(ROW(),2)</formula>
    </cfRule>
  </conditionalFormatting>
  <conditionalFormatting sqref="I43">
    <cfRule type="expression" dxfId="31" priority="6" stopIfTrue="1">
      <formula>MOD(ROW(),2)</formula>
    </cfRule>
  </conditionalFormatting>
  <conditionalFormatting sqref="I47">
    <cfRule type="expression" dxfId="30" priority="5" stopIfTrue="1">
      <formula>MOD(ROW(),2)</formula>
    </cfRule>
  </conditionalFormatting>
  <conditionalFormatting sqref="I50">
    <cfRule type="expression" dxfId="29" priority="4" stopIfTrue="1">
      <formula>MOD(ROW(),2)</formula>
    </cfRule>
  </conditionalFormatting>
  <conditionalFormatting sqref="I49">
    <cfRule type="expression" dxfId="28" priority="3" stopIfTrue="1">
      <formula>MOD(ROW(),2)</formula>
    </cfRule>
  </conditionalFormatting>
  <conditionalFormatting sqref="I48">
    <cfRule type="expression" dxfId="27" priority="2" stopIfTrue="1">
      <formula>MOD(ROW(),2)</formula>
    </cfRule>
  </conditionalFormatting>
  <conditionalFormatting sqref="I54">
    <cfRule type="expression" dxfId="26" priority="1" stopIfTrue="1">
      <formula>MOD(ROW(),2)</formula>
    </cfRule>
  </conditionalFormatting>
  <dataValidations count="3">
    <dataValidation type="list" allowBlank="1" showInputMessage="1" showErrorMessage="1" sqref="F4:F59">
      <formula1>Members</formula1>
    </dataValidation>
    <dataValidation type="list" allowBlank="1" showInputMessage="1" showErrorMessage="1" sqref="B4:B59">
      <formula1>Deliverable</formula1>
    </dataValidation>
    <dataValidation type="list" allowBlank="1" showInputMessage="1" showErrorMessage="1" sqref="A4:A59">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autoPict="0" r:id="rId5">
            <anchor moveWithCells="1">
              <from>
                <xdr:col>4</xdr:col>
                <xdr:colOff>1174750</xdr:colOff>
                <xdr:row>1</xdr:row>
                <xdr:rowOff>12700</xdr:rowOff>
              </from>
              <to>
                <xdr:col>4</xdr:col>
                <xdr:colOff>2413000</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autoPict="0" r:id="rId7">
            <anchor moveWithCells="1">
              <from>
                <xdr:col>4</xdr:col>
                <xdr:colOff>38100</xdr:colOff>
                <xdr:row>1</xdr:row>
                <xdr:rowOff>12700</xdr:rowOff>
              </from>
              <to>
                <xdr:col>4</xdr:col>
                <xdr:colOff>1098550</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R51"/>
  <sheetViews>
    <sheetView topLeftCell="A13" workbookViewId="0">
      <selection activeCell="E41" sqref="E41"/>
    </sheetView>
  </sheetViews>
  <sheetFormatPr defaultColWidth="9.1796875" defaultRowHeight="12.5" x14ac:dyDescent="0.25"/>
  <cols>
    <col min="1" max="1" width="9.1796875" style="6"/>
    <col min="2" max="2" width="9.453125" style="6" customWidth="1"/>
    <col min="3" max="4" width="9.1796875" style="6"/>
    <col min="5" max="28" width="9.26953125" style="6" bestFit="1" customWidth="1"/>
    <col min="29" max="29" width="9.7265625" style="6" customWidth="1"/>
    <col min="30" max="34" width="9.26953125" style="6" bestFit="1" customWidth="1"/>
    <col min="35" max="16384" width="9.1796875" style="6"/>
  </cols>
  <sheetData>
    <row r="1" spans="1:1" x14ac:dyDescent="0.25">
      <c r="A1" s="170"/>
    </row>
    <row r="19" spans="1:44" x14ac:dyDescent="0.25">
      <c r="A19" s="171" t="str">
        <f>IF(SkipWeekends, "Working Day", "Calendar Day")</f>
        <v>Calendar Day</v>
      </c>
      <c r="B19" s="172"/>
      <c r="C19" s="173"/>
      <c r="D19" s="174"/>
      <c r="E19" s="173">
        <v>1</v>
      </c>
      <c r="F19" s="173">
        <v>2</v>
      </c>
      <c r="G19" s="173">
        <v>3</v>
      </c>
      <c r="H19" s="173">
        <v>4</v>
      </c>
      <c r="I19" s="173">
        <v>5</v>
      </c>
      <c r="J19" s="173">
        <v>6</v>
      </c>
      <c r="K19" s="173">
        <v>7</v>
      </c>
      <c r="L19" s="173">
        <v>8</v>
      </c>
      <c r="M19" s="173">
        <v>9</v>
      </c>
      <c r="N19" s="173">
        <v>10</v>
      </c>
      <c r="O19" s="173">
        <v>11</v>
      </c>
      <c r="P19" s="173">
        <v>12</v>
      </c>
      <c r="Q19" s="173">
        <v>13</v>
      </c>
      <c r="R19" s="173">
        <v>14</v>
      </c>
      <c r="S19" s="173">
        <v>15</v>
      </c>
      <c r="T19" s="173">
        <v>16</v>
      </c>
      <c r="U19" s="173">
        <v>17</v>
      </c>
      <c r="V19" s="173">
        <v>18</v>
      </c>
      <c r="W19" s="173">
        <v>19</v>
      </c>
      <c r="X19" s="173">
        <v>20</v>
      </c>
      <c r="Y19" s="173">
        <v>21</v>
      </c>
      <c r="Z19" s="173">
        <v>22</v>
      </c>
      <c r="AA19" s="173">
        <v>23</v>
      </c>
      <c r="AB19" s="173">
        <v>24</v>
      </c>
      <c r="AC19" s="173">
        <v>25</v>
      </c>
      <c r="AD19" s="173">
        <v>26</v>
      </c>
      <c r="AE19" s="173">
        <v>27</v>
      </c>
      <c r="AF19" s="173">
        <v>28</v>
      </c>
      <c r="AG19" s="173">
        <v>29</v>
      </c>
      <c r="AH19" s="174">
        <v>30</v>
      </c>
      <c r="AI19" s="175">
        <v>31</v>
      </c>
      <c r="AJ19" s="175">
        <v>32</v>
      </c>
      <c r="AK19" s="175">
        <v>33</v>
      </c>
      <c r="AL19" s="175">
        <v>34</v>
      </c>
      <c r="AM19" s="175">
        <v>35</v>
      </c>
      <c r="AN19" s="175">
        <v>36</v>
      </c>
      <c r="AO19" s="175">
        <v>37</v>
      </c>
      <c r="AP19" s="175">
        <v>38</v>
      </c>
      <c r="AQ19" s="175">
        <v>39</v>
      </c>
      <c r="AR19" s="175">
        <v>40</v>
      </c>
    </row>
    <row r="20" spans="1:44" x14ac:dyDescent="0.25">
      <c r="A20" s="171" t="s">
        <v>22</v>
      </c>
      <c r="B20" s="172"/>
      <c r="C20" s="173"/>
      <c r="D20" s="174"/>
      <c r="E20" s="176">
        <f t="shared" ref="E20:AR20" si="0">INDEX(SprintDates,1,(E19-1)*BurndownColumns+1)</f>
        <v>39314</v>
      </c>
      <c r="F20" s="176">
        <f t="shared" si="0"/>
        <v>39315</v>
      </c>
      <c r="G20" s="176">
        <f t="shared" si="0"/>
        <v>39316</v>
      </c>
      <c r="H20" s="176">
        <f t="shared" si="0"/>
        <v>39317</v>
      </c>
      <c r="I20" s="176">
        <f t="shared" si="0"/>
        <v>39318</v>
      </c>
      <c r="J20" s="176">
        <f t="shared" si="0"/>
        <v>39319</v>
      </c>
      <c r="K20" s="176">
        <f t="shared" si="0"/>
        <v>39320</v>
      </c>
      <c r="L20" s="176">
        <f t="shared" si="0"/>
        <v>39321</v>
      </c>
      <c r="M20" s="176">
        <f t="shared" si="0"/>
        <v>39322</v>
      </c>
      <c r="N20" s="176">
        <f t="shared" si="0"/>
        <v>39323</v>
      </c>
      <c r="O20" s="176">
        <f t="shared" si="0"/>
        <v>39324</v>
      </c>
      <c r="P20" s="176">
        <f t="shared" si="0"/>
        <v>39325</v>
      </c>
      <c r="Q20" s="176">
        <f t="shared" si="0"/>
        <v>39326</v>
      </c>
      <c r="R20" s="176">
        <f t="shared" si="0"/>
        <v>39327</v>
      </c>
      <c r="S20" s="176">
        <f t="shared" si="0"/>
        <v>39328</v>
      </c>
      <c r="T20" s="176">
        <f t="shared" si="0"/>
        <v>39329</v>
      </c>
      <c r="U20" s="176">
        <f t="shared" si="0"/>
        <v>39330</v>
      </c>
      <c r="V20" s="176">
        <f t="shared" si="0"/>
        <v>39331</v>
      </c>
      <c r="W20" s="176">
        <f t="shared" si="0"/>
        <v>39332</v>
      </c>
      <c r="X20" s="176">
        <f t="shared" si="0"/>
        <v>39333</v>
      </c>
      <c r="Y20" s="176">
        <f t="shared" si="0"/>
        <v>39334</v>
      </c>
      <c r="Z20" s="176">
        <f t="shared" si="0"/>
        <v>39335</v>
      </c>
      <c r="AA20" s="176">
        <f t="shared" si="0"/>
        <v>39336</v>
      </c>
      <c r="AB20" s="176">
        <f t="shared" si="0"/>
        <v>39337</v>
      </c>
      <c r="AC20" s="176">
        <f t="shared" si="0"/>
        <v>39338</v>
      </c>
      <c r="AD20" s="176">
        <f t="shared" si="0"/>
        <v>39339</v>
      </c>
      <c r="AE20" s="176">
        <f t="shared" si="0"/>
        <v>39340</v>
      </c>
      <c r="AF20" s="176">
        <f t="shared" si="0"/>
        <v>39341</v>
      </c>
      <c r="AG20" s="176">
        <f t="shared" si="0"/>
        <v>39342</v>
      </c>
      <c r="AH20" s="177">
        <f t="shared" si="0"/>
        <v>39343</v>
      </c>
      <c r="AI20" s="178">
        <f t="shared" si="0"/>
        <v>39344</v>
      </c>
      <c r="AJ20" s="178">
        <f t="shared" si="0"/>
        <v>39345</v>
      </c>
      <c r="AK20" s="178">
        <f t="shared" si="0"/>
        <v>39346</v>
      </c>
      <c r="AL20" s="178">
        <f t="shared" si="0"/>
        <v>39347</v>
      </c>
      <c r="AM20" s="178">
        <f t="shared" si="0"/>
        <v>39348</v>
      </c>
      <c r="AN20" s="178">
        <f t="shared" si="0"/>
        <v>39349</v>
      </c>
      <c r="AO20" s="178">
        <f t="shared" si="0"/>
        <v>39350</v>
      </c>
      <c r="AP20" s="178">
        <f t="shared" si="0"/>
        <v>39351</v>
      </c>
      <c r="AQ20" s="178">
        <f t="shared" si="0"/>
        <v>39352</v>
      </c>
      <c r="AR20" s="178">
        <f t="shared" si="0"/>
        <v>39353</v>
      </c>
    </row>
    <row r="21" spans="1:44" x14ac:dyDescent="0.25">
      <c r="A21" s="171"/>
      <c r="B21" s="172"/>
      <c r="C21" s="173"/>
      <c r="D21" s="174"/>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7"/>
      <c r="AI21" s="178"/>
      <c r="AJ21" s="178"/>
      <c r="AK21" s="178"/>
      <c r="AL21" s="178"/>
      <c r="AM21" s="178"/>
      <c r="AN21" s="178"/>
      <c r="AO21" s="178"/>
      <c r="AP21" s="178"/>
      <c r="AQ21" s="178"/>
      <c r="AR21" s="178"/>
    </row>
    <row r="22" spans="1:44" x14ac:dyDescent="0.25">
      <c r="A22" s="171" t="s">
        <v>9</v>
      </c>
      <c r="B22" s="173"/>
      <c r="C22" s="179"/>
      <c r="D22" s="180"/>
      <c r="E22" s="173">
        <f t="shared" ref="E22:AR22" ca="1" si="1">IF(E20&gt;TODAY(), #N/A, SUM(INDEX(Burndown,,(E19-1)*BurndownColumns+HoursLeftColumn)))</f>
        <v>285</v>
      </c>
      <c r="F22" s="173">
        <f t="shared" ca="1" si="1"/>
        <v>285</v>
      </c>
      <c r="G22" s="173">
        <f t="shared" ca="1" si="1"/>
        <v>285</v>
      </c>
      <c r="H22" s="173">
        <f t="shared" ca="1" si="1"/>
        <v>285</v>
      </c>
      <c r="I22" s="173">
        <f t="shared" ca="1" si="1"/>
        <v>285</v>
      </c>
      <c r="J22" s="173">
        <f t="shared" ca="1" si="1"/>
        <v>285</v>
      </c>
      <c r="K22" s="173">
        <f t="shared" ca="1" si="1"/>
        <v>285</v>
      </c>
      <c r="L22" s="173">
        <f t="shared" ca="1" si="1"/>
        <v>285</v>
      </c>
      <c r="M22" s="173">
        <f t="shared" ca="1" si="1"/>
        <v>285</v>
      </c>
      <c r="N22" s="173">
        <f t="shared" ca="1" si="1"/>
        <v>285</v>
      </c>
      <c r="O22" s="173">
        <f t="shared" ca="1" si="1"/>
        <v>285</v>
      </c>
      <c r="P22" s="173">
        <f t="shared" ca="1" si="1"/>
        <v>285</v>
      </c>
      <c r="Q22" s="173">
        <f t="shared" ca="1" si="1"/>
        <v>285</v>
      </c>
      <c r="R22" s="173">
        <f t="shared" ca="1" si="1"/>
        <v>285</v>
      </c>
      <c r="S22" s="173">
        <f t="shared" ca="1" si="1"/>
        <v>285</v>
      </c>
      <c r="T22" s="173">
        <f t="shared" ca="1" si="1"/>
        <v>285</v>
      </c>
      <c r="U22" s="173">
        <f t="shared" ca="1" si="1"/>
        <v>285</v>
      </c>
      <c r="V22" s="173">
        <f t="shared" ca="1" si="1"/>
        <v>285</v>
      </c>
      <c r="W22" s="173">
        <f t="shared" ca="1" si="1"/>
        <v>285</v>
      </c>
      <c r="X22" s="173">
        <f t="shared" ca="1" si="1"/>
        <v>285</v>
      </c>
      <c r="Y22" s="173">
        <f t="shared" ca="1" si="1"/>
        <v>285</v>
      </c>
      <c r="Z22" s="173">
        <f t="shared" ca="1" si="1"/>
        <v>285</v>
      </c>
      <c r="AA22" s="173">
        <f t="shared" ca="1" si="1"/>
        <v>285</v>
      </c>
      <c r="AB22" s="173">
        <f t="shared" ca="1" si="1"/>
        <v>285</v>
      </c>
      <c r="AC22" s="173">
        <f t="shared" ca="1" si="1"/>
        <v>285</v>
      </c>
      <c r="AD22" s="173">
        <f t="shared" ca="1" si="1"/>
        <v>285</v>
      </c>
      <c r="AE22" s="173">
        <f t="shared" ca="1" si="1"/>
        <v>285</v>
      </c>
      <c r="AF22" s="173">
        <f t="shared" ca="1" si="1"/>
        <v>285</v>
      </c>
      <c r="AG22" s="173">
        <f t="shared" ca="1" si="1"/>
        <v>285</v>
      </c>
      <c r="AH22" s="174">
        <f t="shared" ca="1" si="1"/>
        <v>285</v>
      </c>
      <c r="AI22" s="175">
        <f t="shared" ca="1" si="1"/>
        <v>285</v>
      </c>
      <c r="AJ22" s="175">
        <f t="shared" ca="1" si="1"/>
        <v>285</v>
      </c>
      <c r="AK22" s="175">
        <f t="shared" ca="1" si="1"/>
        <v>285</v>
      </c>
      <c r="AL22" s="175">
        <f t="shared" ca="1" si="1"/>
        <v>285</v>
      </c>
      <c r="AM22" s="175">
        <f t="shared" ca="1" si="1"/>
        <v>285</v>
      </c>
      <c r="AN22" s="175">
        <f t="shared" ca="1" si="1"/>
        <v>285</v>
      </c>
      <c r="AO22" s="175">
        <f t="shared" ca="1" si="1"/>
        <v>285</v>
      </c>
      <c r="AP22" s="175">
        <f t="shared" ca="1" si="1"/>
        <v>285</v>
      </c>
      <c r="AQ22" s="175">
        <f t="shared" ca="1" si="1"/>
        <v>285</v>
      </c>
      <c r="AR22" s="175">
        <f t="shared" ca="1" si="1"/>
        <v>285</v>
      </c>
    </row>
    <row r="23" spans="1:44" x14ac:dyDescent="0.25">
      <c r="A23" s="181" t="s">
        <v>21</v>
      </c>
      <c r="B23" s="179"/>
      <c r="C23" s="179"/>
      <c r="D23" s="180"/>
      <c r="E23" s="174">
        <f t="shared" ref="E23:AR23" ca="1" si="2">IF(E20&gt;TODAY(), #N/A, SUM(INDEX(Burndown,,(E19-1)*BurndownColumns+HoursSpentColumn)))</f>
        <v>152</v>
      </c>
      <c r="F23" s="174">
        <f t="shared" ca="1" si="2"/>
        <v>0</v>
      </c>
      <c r="G23" s="174">
        <f t="shared" ca="1" si="2"/>
        <v>0</v>
      </c>
      <c r="H23" s="174">
        <f t="shared" ca="1" si="2"/>
        <v>0</v>
      </c>
      <c r="I23" s="174">
        <f t="shared" ca="1" si="2"/>
        <v>0</v>
      </c>
      <c r="J23" s="174">
        <f t="shared" ca="1" si="2"/>
        <v>0</v>
      </c>
      <c r="K23" s="174">
        <f t="shared" ca="1" si="2"/>
        <v>0</v>
      </c>
      <c r="L23" s="174">
        <f t="shared" ca="1" si="2"/>
        <v>0</v>
      </c>
      <c r="M23" s="174">
        <f t="shared" ca="1" si="2"/>
        <v>0</v>
      </c>
      <c r="N23" s="174">
        <f t="shared" ca="1" si="2"/>
        <v>0</v>
      </c>
      <c r="O23" s="174">
        <f t="shared" ca="1" si="2"/>
        <v>0</v>
      </c>
      <c r="P23" s="174">
        <f t="shared" ca="1" si="2"/>
        <v>0</v>
      </c>
      <c r="Q23" s="174">
        <f t="shared" ca="1" si="2"/>
        <v>0</v>
      </c>
      <c r="R23" s="174">
        <f t="shared" ca="1" si="2"/>
        <v>0</v>
      </c>
      <c r="S23" s="174">
        <f t="shared" ca="1" si="2"/>
        <v>0</v>
      </c>
      <c r="T23" s="174">
        <f t="shared" ca="1" si="2"/>
        <v>0</v>
      </c>
      <c r="U23" s="174">
        <f t="shared" ca="1" si="2"/>
        <v>0</v>
      </c>
      <c r="V23" s="174">
        <f t="shared" ca="1" si="2"/>
        <v>0</v>
      </c>
      <c r="W23" s="174">
        <f t="shared" ca="1" si="2"/>
        <v>0</v>
      </c>
      <c r="X23" s="174">
        <f t="shared" ca="1" si="2"/>
        <v>0</v>
      </c>
      <c r="Y23" s="174">
        <f t="shared" ca="1" si="2"/>
        <v>0</v>
      </c>
      <c r="Z23" s="174">
        <f t="shared" ca="1" si="2"/>
        <v>0</v>
      </c>
      <c r="AA23" s="174">
        <f t="shared" ca="1" si="2"/>
        <v>0</v>
      </c>
      <c r="AB23" s="174">
        <f t="shared" ca="1" si="2"/>
        <v>0</v>
      </c>
      <c r="AC23" s="174">
        <f t="shared" ca="1" si="2"/>
        <v>0</v>
      </c>
      <c r="AD23" s="174">
        <f t="shared" ca="1" si="2"/>
        <v>0</v>
      </c>
      <c r="AE23" s="174">
        <f t="shared" ca="1" si="2"/>
        <v>0</v>
      </c>
      <c r="AF23" s="174">
        <f t="shared" ca="1" si="2"/>
        <v>0</v>
      </c>
      <c r="AG23" s="174">
        <f t="shared" ca="1" si="2"/>
        <v>0</v>
      </c>
      <c r="AH23" s="174">
        <f t="shared" ca="1" si="2"/>
        <v>0</v>
      </c>
      <c r="AI23" s="175">
        <f t="shared" ca="1" si="2"/>
        <v>0</v>
      </c>
      <c r="AJ23" s="175">
        <f t="shared" ca="1" si="2"/>
        <v>0</v>
      </c>
      <c r="AK23" s="175">
        <f t="shared" ca="1" si="2"/>
        <v>0</v>
      </c>
      <c r="AL23" s="175">
        <f t="shared" ca="1" si="2"/>
        <v>0</v>
      </c>
      <c r="AM23" s="175">
        <f t="shared" ca="1" si="2"/>
        <v>0</v>
      </c>
      <c r="AN23" s="175">
        <f t="shared" ca="1" si="2"/>
        <v>0</v>
      </c>
      <c r="AO23" s="175">
        <f t="shared" ca="1" si="2"/>
        <v>0</v>
      </c>
      <c r="AP23" s="175">
        <f t="shared" ca="1" si="2"/>
        <v>0</v>
      </c>
      <c r="AQ23" s="175">
        <f t="shared" ca="1" si="2"/>
        <v>0</v>
      </c>
      <c r="AR23" s="175">
        <f t="shared" ca="1" si="2"/>
        <v>0</v>
      </c>
    </row>
    <row r="24" spans="1:44" x14ac:dyDescent="0.25">
      <c r="A24" s="181" t="s">
        <v>4</v>
      </c>
      <c r="B24" s="179"/>
      <c r="C24" s="179"/>
      <c r="D24" s="180"/>
      <c r="E24" s="174">
        <f ca="1">IF(E20&gt;TODAY(), #N/A, SUM($E23:E23))</f>
        <v>152</v>
      </c>
      <c r="F24" s="174">
        <f ca="1">IF(F20&gt;TODAY(), #N/A, SUM($E23:F23))</f>
        <v>152</v>
      </c>
      <c r="G24" s="174">
        <f ca="1">IF(G20&gt;TODAY(), #N/A, SUM($E23:G23))</f>
        <v>152</v>
      </c>
      <c r="H24" s="174">
        <f ca="1">IF(H20&gt;TODAY(), #N/A, SUM($E23:H23))</f>
        <v>152</v>
      </c>
      <c r="I24" s="174">
        <f ca="1">IF(I20&gt;TODAY(), #N/A, SUM($E23:I23))</f>
        <v>152</v>
      </c>
      <c r="J24" s="174">
        <f ca="1">IF(J20&gt;TODAY(), #N/A, SUM($E23:J23))</f>
        <v>152</v>
      </c>
      <c r="K24" s="174">
        <f ca="1">IF(K20&gt;TODAY(), #N/A, SUM($E23:K23))</f>
        <v>152</v>
      </c>
      <c r="L24" s="174">
        <f ca="1">IF(L20&gt;TODAY(), #N/A, SUM($E23:L23))</f>
        <v>152</v>
      </c>
      <c r="M24" s="174">
        <f ca="1">IF(M20&gt;TODAY(), #N/A, SUM($E23:M23))</f>
        <v>152</v>
      </c>
      <c r="N24" s="174">
        <f ca="1">IF(N20&gt;TODAY(), #N/A, SUM($E23:N23))</f>
        <v>152</v>
      </c>
      <c r="O24" s="174">
        <f ca="1">IF(O20&gt;TODAY(), #N/A, SUM($E23:O23))</f>
        <v>152</v>
      </c>
      <c r="P24" s="174">
        <f ca="1">IF(P20&gt;TODAY(), #N/A, SUM($E23:P23))</f>
        <v>152</v>
      </c>
      <c r="Q24" s="174">
        <f ca="1">IF(Q20&gt;TODAY(), #N/A, SUM($E23:Q23))</f>
        <v>152</v>
      </c>
      <c r="R24" s="174">
        <f ca="1">IF(R20&gt;TODAY(), #N/A, SUM($E23:R23))</f>
        <v>152</v>
      </c>
      <c r="S24" s="174">
        <f ca="1">IF(S20&gt;TODAY(), #N/A, SUM($E23:S23))</f>
        <v>152</v>
      </c>
      <c r="T24" s="174">
        <f ca="1">IF(T20&gt;TODAY(), #N/A, SUM($E23:T23))</f>
        <v>152</v>
      </c>
      <c r="U24" s="174">
        <f ca="1">IF(U20&gt;TODAY(), #N/A, SUM($E23:U23))</f>
        <v>152</v>
      </c>
      <c r="V24" s="174">
        <f ca="1">IF(V20&gt;TODAY(), #N/A, SUM($E23:V23))</f>
        <v>152</v>
      </c>
      <c r="W24" s="174">
        <f ca="1">IF(W20&gt;TODAY(), #N/A, SUM($E23:W23))</f>
        <v>152</v>
      </c>
      <c r="X24" s="174">
        <f ca="1">IF(X20&gt;TODAY(), #N/A, SUM($E23:X23))</f>
        <v>152</v>
      </c>
      <c r="Y24" s="174">
        <f ca="1">IF(Y20&gt;TODAY(), #N/A, SUM($E23:Y23))</f>
        <v>152</v>
      </c>
      <c r="Z24" s="174">
        <f ca="1">IF(Z20&gt;TODAY(), #N/A, SUM($E23:Z23))</f>
        <v>152</v>
      </c>
      <c r="AA24" s="174">
        <f ca="1">IF(AA20&gt;TODAY(), #N/A, SUM($E23:AA23))</f>
        <v>152</v>
      </c>
      <c r="AB24" s="174">
        <f ca="1">IF(AB20&gt;TODAY(), #N/A, SUM($E23:AB23))</f>
        <v>152</v>
      </c>
      <c r="AC24" s="174">
        <f ca="1">IF(AC20&gt;TODAY(), #N/A, SUM($E23:AC23))</f>
        <v>152</v>
      </c>
      <c r="AD24" s="174">
        <f ca="1">IF(AD20&gt;TODAY(), #N/A, SUM($E23:AD23))</f>
        <v>152</v>
      </c>
      <c r="AE24" s="174">
        <f ca="1">IF(AE20&gt;TODAY(), #N/A, SUM($E23:AE23))</f>
        <v>152</v>
      </c>
      <c r="AF24" s="174">
        <f ca="1">IF(AF20&gt;TODAY(), #N/A, SUM($E23:AF23))</f>
        <v>152</v>
      </c>
      <c r="AG24" s="174">
        <f ca="1">IF(AG20&gt;TODAY(), #N/A, SUM($E23:AG23))</f>
        <v>152</v>
      </c>
      <c r="AH24" s="174">
        <f ca="1">IF(AH20&gt;TODAY(), #N/A, SUM($E23:AH23))</f>
        <v>152</v>
      </c>
      <c r="AI24" s="175">
        <f ca="1">IF(AI20&gt;TODAY(), #N/A, SUM($E23:AI23))</f>
        <v>152</v>
      </c>
      <c r="AJ24" s="175">
        <f ca="1">IF(AJ20&gt;TODAY(), #N/A, SUM($E23:AJ23))</f>
        <v>152</v>
      </c>
      <c r="AK24" s="175">
        <f ca="1">IF(AK20&gt;TODAY(), #N/A, SUM($E23:AK23))</f>
        <v>152</v>
      </c>
      <c r="AL24" s="175">
        <f ca="1">IF(AL20&gt;TODAY(), #N/A, SUM($E23:AL23))</f>
        <v>152</v>
      </c>
      <c r="AM24" s="175">
        <f ca="1">IF(AM20&gt;TODAY(), #N/A, SUM($E23:AM23))</f>
        <v>152</v>
      </c>
      <c r="AN24" s="175">
        <f ca="1">IF(AN20&gt;TODAY(), #N/A, SUM($E23:AN23))</f>
        <v>152</v>
      </c>
      <c r="AO24" s="175">
        <f ca="1">IF(AO20&gt;TODAY(), #N/A, SUM($E23:AO23))</f>
        <v>152</v>
      </c>
      <c r="AP24" s="175">
        <f ca="1">IF(AP20&gt;TODAY(), #N/A, SUM($E23:AP23))</f>
        <v>152</v>
      </c>
      <c r="AQ24" s="175">
        <f ca="1">IF(AQ20&gt;TODAY(), #N/A, SUM($E23:AQ23))</f>
        <v>152</v>
      </c>
      <c r="AR24" s="175">
        <f ca="1">IF(AR20&gt;TODAY(), #N/A, SUM($E23:AR23))</f>
        <v>152</v>
      </c>
    </row>
    <row r="25" spans="1:44" x14ac:dyDescent="0.25">
      <c r="A25" s="181" t="s">
        <v>23</v>
      </c>
      <c r="B25" s="179"/>
      <c r="C25" s="179"/>
      <c r="D25" s="180"/>
      <c r="E25" s="174">
        <f t="shared" ref="E25:AR25" ca="1" si="3">IF(E20&gt;TODAY(), #N/A, E22+E24)</f>
        <v>437</v>
      </c>
      <c r="F25" s="174">
        <f t="shared" ca="1" si="3"/>
        <v>437</v>
      </c>
      <c r="G25" s="174">
        <f t="shared" ca="1" si="3"/>
        <v>437</v>
      </c>
      <c r="H25" s="174">
        <f t="shared" ca="1" si="3"/>
        <v>437</v>
      </c>
      <c r="I25" s="174">
        <f t="shared" ca="1" si="3"/>
        <v>437</v>
      </c>
      <c r="J25" s="174">
        <f t="shared" ca="1" si="3"/>
        <v>437</v>
      </c>
      <c r="K25" s="174">
        <f t="shared" ca="1" si="3"/>
        <v>437</v>
      </c>
      <c r="L25" s="174">
        <f t="shared" ca="1" si="3"/>
        <v>437</v>
      </c>
      <c r="M25" s="174">
        <f t="shared" ca="1" si="3"/>
        <v>437</v>
      </c>
      <c r="N25" s="174">
        <f t="shared" ca="1" si="3"/>
        <v>437</v>
      </c>
      <c r="O25" s="174">
        <f t="shared" ca="1" si="3"/>
        <v>437</v>
      </c>
      <c r="P25" s="174">
        <f t="shared" ca="1" si="3"/>
        <v>437</v>
      </c>
      <c r="Q25" s="174">
        <f t="shared" ca="1" si="3"/>
        <v>437</v>
      </c>
      <c r="R25" s="174">
        <f t="shared" ca="1" si="3"/>
        <v>437</v>
      </c>
      <c r="S25" s="174">
        <f t="shared" ca="1" si="3"/>
        <v>437</v>
      </c>
      <c r="T25" s="174">
        <f t="shared" ca="1" si="3"/>
        <v>437</v>
      </c>
      <c r="U25" s="174">
        <f t="shared" ca="1" si="3"/>
        <v>437</v>
      </c>
      <c r="V25" s="174">
        <f t="shared" ca="1" si="3"/>
        <v>437</v>
      </c>
      <c r="W25" s="174">
        <f t="shared" ca="1" si="3"/>
        <v>437</v>
      </c>
      <c r="X25" s="174">
        <f t="shared" ca="1" si="3"/>
        <v>437</v>
      </c>
      <c r="Y25" s="174">
        <f t="shared" ca="1" si="3"/>
        <v>437</v>
      </c>
      <c r="Z25" s="174">
        <f t="shared" ca="1" si="3"/>
        <v>437</v>
      </c>
      <c r="AA25" s="174">
        <f t="shared" ca="1" si="3"/>
        <v>437</v>
      </c>
      <c r="AB25" s="174">
        <f t="shared" ca="1" si="3"/>
        <v>437</v>
      </c>
      <c r="AC25" s="174">
        <f t="shared" ca="1" si="3"/>
        <v>437</v>
      </c>
      <c r="AD25" s="174">
        <f t="shared" ca="1" si="3"/>
        <v>437</v>
      </c>
      <c r="AE25" s="174">
        <f t="shared" ca="1" si="3"/>
        <v>437</v>
      </c>
      <c r="AF25" s="174">
        <f t="shared" ca="1" si="3"/>
        <v>437</v>
      </c>
      <c r="AG25" s="174">
        <f t="shared" ca="1" si="3"/>
        <v>437</v>
      </c>
      <c r="AH25" s="174">
        <f t="shared" ca="1" si="3"/>
        <v>437</v>
      </c>
      <c r="AI25" s="175">
        <f t="shared" ca="1" si="3"/>
        <v>437</v>
      </c>
      <c r="AJ25" s="175">
        <f t="shared" ca="1" si="3"/>
        <v>437</v>
      </c>
      <c r="AK25" s="175">
        <f t="shared" ca="1" si="3"/>
        <v>437</v>
      </c>
      <c r="AL25" s="175">
        <f t="shared" ca="1" si="3"/>
        <v>437</v>
      </c>
      <c r="AM25" s="175">
        <f t="shared" ca="1" si="3"/>
        <v>437</v>
      </c>
      <c r="AN25" s="175">
        <f t="shared" ca="1" si="3"/>
        <v>437</v>
      </c>
      <c r="AO25" s="175">
        <f t="shared" ca="1" si="3"/>
        <v>437</v>
      </c>
      <c r="AP25" s="175">
        <f t="shared" ca="1" si="3"/>
        <v>437</v>
      </c>
      <c r="AQ25" s="175">
        <f t="shared" ca="1" si="3"/>
        <v>437</v>
      </c>
      <c r="AR25" s="175">
        <f t="shared" ca="1" si="3"/>
        <v>437</v>
      </c>
    </row>
    <row r="26" spans="1:44" x14ac:dyDescent="0.25">
      <c r="A26" s="181"/>
      <c r="B26" s="179"/>
      <c r="C26" s="179"/>
      <c r="D26" s="180"/>
      <c r="E26" s="179"/>
      <c r="F26" s="179"/>
      <c r="G26" s="179"/>
      <c r="H26" s="179"/>
      <c r="I26" s="179"/>
      <c r="J26" s="179"/>
      <c r="K26" s="179"/>
      <c r="L26" s="179"/>
      <c r="M26" s="179"/>
      <c r="N26" s="179"/>
      <c r="O26" s="179"/>
      <c r="P26" s="179"/>
      <c r="Q26" s="179"/>
      <c r="R26" s="179"/>
      <c r="S26" s="179"/>
      <c r="T26" s="179"/>
      <c r="U26" s="179"/>
      <c r="V26" s="179"/>
      <c r="W26" s="179"/>
      <c r="X26" s="179"/>
      <c r="Y26" s="179"/>
      <c r="Z26" s="179"/>
      <c r="AA26" s="179"/>
      <c r="AB26" s="179"/>
      <c r="AC26" s="179"/>
      <c r="AD26" s="179"/>
      <c r="AE26" s="179"/>
      <c r="AF26" s="179"/>
      <c r="AG26" s="179"/>
      <c r="AH26" s="174"/>
      <c r="AI26" s="182"/>
      <c r="AJ26" s="182"/>
      <c r="AK26" s="182"/>
      <c r="AL26" s="182"/>
      <c r="AM26" s="182"/>
      <c r="AN26" s="182"/>
      <c r="AO26" s="182"/>
      <c r="AP26" s="182"/>
      <c r="AQ26" s="182"/>
      <c r="AR26" s="182"/>
    </row>
    <row r="27" spans="1:44" x14ac:dyDescent="0.25">
      <c r="A27" s="171" t="s">
        <v>5</v>
      </c>
      <c r="B27" s="179"/>
      <c r="C27" s="173"/>
      <c r="D27" s="180"/>
      <c r="E27" s="20">
        <f t="shared" ref="E27:AR27" ca="1" si="4">IF(E20&gt;TODAY(), #N/A, E24/E19)</f>
        <v>152</v>
      </c>
      <c r="F27" s="20">
        <f t="shared" ca="1" si="4"/>
        <v>76</v>
      </c>
      <c r="G27" s="20">
        <f t="shared" ca="1" si="4"/>
        <v>50.666666666666664</v>
      </c>
      <c r="H27" s="20">
        <f t="shared" ca="1" si="4"/>
        <v>38</v>
      </c>
      <c r="I27" s="20">
        <f t="shared" ca="1" si="4"/>
        <v>30.4</v>
      </c>
      <c r="J27" s="20">
        <f t="shared" ca="1" si="4"/>
        <v>25.333333333333332</v>
      </c>
      <c r="K27" s="20">
        <f t="shared" ca="1" si="4"/>
        <v>21.714285714285715</v>
      </c>
      <c r="L27" s="20">
        <f t="shared" ca="1" si="4"/>
        <v>19</v>
      </c>
      <c r="M27" s="20">
        <f t="shared" ca="1" si="4"/>
        <v>16.888888888888889</v>
      </c>
      <c r="N27" s="20">
        <f t="shared" ca="1" si="4"/>
        <v>15.2</v>
      </c>
      <c r="O27" s="20">
        <f t="shared" ca="1" si="4"/>
        <v>13.818181818181818</v>
      </c>
      <c r="P27" s="20">
        <f t="shared" ca="1" si="4"/>
        <v>12.666666666666666</v>
      </c>
      <c r="Q27" s="20">
        <f t="shared" ca="1" si="4"/>
        <v>11.692307692307692</v>
      </c>
      <c r="R27" s="20">
        <f t="shared" ca="1" si="4"/>
        <v>10.857142857142858</v>
      </c>
      <c r="S27" s="20">
        <f t="shared" ca="1" si="4"/>
        <v>10.133333333333333</v>
      </c>
      <c r="T27" s="20">
        <f t="shared" ca="1" si="4"/>
        <v>9.5</v>
      </c>
      <c r="U27" s="20">
        <f t="shared" ca="1" si="4"/>
        <v>8.9411764705882355</v>
      </c>
      <c r="V27" s="20">
        <f t="shared" ca="1" si="4"/>
        <v>8.4444444444444446</v>
      </c>
      <c r="W27" s="20">
        <f t="shared" ca="1" si="4"/>
        <v>8</v>
      </c>
      <c r="X27" s="20">
        <f t="shared" ca="1" si="4"/>
        <v>7.6</v>
      </c>
      <c r="Y27" s="20">
        <f t="shared" ca="1" si="4"/>
        <v>7.2380952380952381</v>
      </c>
      <c r="Z27" s="20">
        <f t="shared" ca="1" si="4"/>
        <v>6.9090909090909092</v>
      </c>
      <c r="AA27" s="20">
        <f t="shared" ca="1" si="4"/>
        <v>6.6086956521739131</v>
      </c>
      <c r="AB27" s="20">
        <f t="shared" ca="1" si="4"/>
        <v>6.333333333333333</v>
      </c>
      <c r="AC27" s="20">
        <f t="shared" ca="1" si="4"/>
        <v>6.08</v>
      </c>
      <c r="AD27" s="20">
        <f t="shared" ca="1" si="4"/>
        <v>5.8461538461538458</v>
      </c>
      <c r="AE27" s="20">
        <f t="shared" ca="1" si="4"/>
        <v>5.6296296296296298</v>
      </c>
      <c r="AF27" s="20">
        <f t="shared" ca="1" si="4"/>
        <v>5.4285714285714288</v>
      </c>
      <c r="AG27" s="20">
        <f t="shared" ca="1" si="4"/>
        <v>5.2413793103448274</v>
      </c>
      <c r="AH27" s="183">
        <f t="shared" ca="1" si="4"/>
        <v>5.0666666666666664</v>
      </c>
      <c r="AI27" s="184">
        <f t="shared" ca="1" si="4"/>
        <v>4.903225806451613</v>
      </c>
      <c r="AJ27" s="184">
        <f t="shared" ca="1" si="4"/>
        <v>4.75</v>
      </c>
      <c r="AK27" s="184">
        <f t="shared" ca="1" si="4"/>
        <v>4.6060606060606064</v>
      </c>
      <c r="AL27" s="184">
        <f t="shared" ca="1" si="4"/>
        <v>4.4705882352941178</v>
      </c>
      <c r="AM27" s="184">
        <f t="shared" ca="1" si="4"/>
        <v>4.3428571428571425</v>
      </c>
      <c r="AN27" s="184">
        <f t="shared" ca="1" si="4"/>
        <v>4.2222222222222223</v>
      </c>
      <c r="AO27" s="184">
        <f t="shared" ca="1" si="4"/>
        <v>4.1081081081081079</v>
      </c>
      <c r="AP27" s="184">
        <f t="shared" ca="1" si="4"/>
        <v>4</v>
      </c>
      <c r="AQ27" s="184">
        <f t="shared" ca="1" si="4"/>
        <v>3.8974358974358974</v>
      </c>
      <c r="AR27" s="184">
        <f t="shared" ca="1" si="4"/>
        <v>3.8</v>
      </c>
    </row>
    <row r="28" spans="1:44" x14ac:dyDescent="0.25">
      <c r="A28" s="181" t="s">
        <v>6</v>
      </c>
      <c r="B28" s="179"/>
      <c r="C28" s="179"/>
      <c r="D28" s="180"/>
      <c r="E28" s="185">
        <f t="shared" ref="E28:AR28" ca="1" si="5">IF(E20&gt;TODAY(), #N/A, IF(E27=0, SprintStart, E20 + (E22/E27)))</f>
        <v>39315.875</v>
      </c>
      <c r="F28" s="185">
        <f t="shared" ca="1" si="5"/>
        <v>39318.75</v>
      </c>
      <c r="G28" s="185">
        <f t="shared" ca="1" si="5"/>
        <v>39321.625</v>
      </c>
      <c r="H28" s="185">
        <f t="shared" ca="1" si="5"/>
        <v>39324.5</v>
      </c>
      <c r="I28" s="185">
        <f t="shared" ca="1" si="5"/>
        <v>39327.375</v>
      </c>
      <c r="J28" s="185">
        <f t="shared" ca="1" si="5"/>
        <v>39330.25</v>
      </c>
      <c r="K28" s="185">
        <f t="shared" ca="1" si="5"/>
        <v>39333.125</v>
      </c>
      <c r="L28" s="185">
        <f t="shared" ca="1" si="5"/>
        <v>39336</v>
      </c>
      <c r="M28" s="185">
        <f t="shared" ca="1" si="5"/>
        <v>39338.875</v>
      </c>
      <c r="N28" s="185">
        <f t="shared" ca="1" si="5"/>
        <v>39341.75</v>
      </c>
      <c r="O28" s="185">
        <f t="shared" ca="1" si="5"/>
        <v>39344.625</v>
      </c>
      <c r="P28" s="185">
        <f t="shared" ca="1" si="5"/>
        <v>39347.5</v>
      </c>
      <c r="Q28" s="185">
        <f t="shared" ca="1" si="5"/>
        <v>39350.375</v>
      </c>
      <c r="R28" s="185">
        <f t="shared" ca="1" si="5"/>
        <v>39353.25</v>
      </c>
      <c r="S28" s="185">
        <f t="shared" ca="1" si="5"/>
        <v>39356.125</v>
      </c>
      <c r="T28" s="185">
        <f t="shared" ca="1" si="5"/>
        <v>39359</v>
      </c>
      <c r="U28" s="185">
        <f t="shared" ca="1" si="5"/>
        <v>39361.875</v>
      </c>
      <c r="V28" s="185">
        <f t="shared" ca="1" si="5"/>
        <v>39364.75</v>
      </c>
      <c r="W28" s="185">
        <f t="shared" ca="1" si="5"/>
        <v>39367.625</v>
      </c>
      <c r="X28" s="185">
        <f t="shared" ca="1" si="5"/>
        <v>39370.5</v>
      </c>
      <c r="Y28" s="185">
        <f t="shared" ca="1" si="5"/>
        <v>39373.375</v>
      </c>
      <c r="Z28" s="185">
        <f t="shared" ca="1" si="5"/>
        <v>39376.25</v>
      </c>
      <c r="AA28" s="185">
        <f t="shared" ca="1" si="5"/>
        <v>39379.125</v>
      </c>
      <c r="AB28" s="185">
        <f t="shared" ca="1" si="5"/>
        <v>39382</v>
      </c>
      <c r="AC28" s="185">
        <f t="shared" ca="1" si="5"/>
        <v>39384.875</v>
      </c>
      <c r="AD28" s="185">
        <f t="shared" ca="1" si="5"/>
        <v>39387.75</v>
      </c>
      <c r="AE28" s="185">
        <f t="shared" ca="1" si="5"/>
        <v>39390.625</v>
      </c>
      <c r="AF28" s="185">
        <f t="shared" ca="1" si="5"/>
        <v>39393.5</v>
      </c>
      <c r="AG28" s="185">
        <f t="shared" ca="1" si="5"/>
        <v>39396.375</v>
      </c>
      <c r="AH28" s="177">
        <f t="shared" ca="1" si="5"/>
        <v>39399.25</v>
      </c>
      <c r="AI28" s="186">
        <f t="shared" ca="1" si="5"/>
        <v>39402.125</v>
      </c>
      <c r="AJ28" s="186">
        <f t="shared" ca="1" si="5"/>
        <v>39405</v>
      </c>
      <c r="AK28" s="186">
        <f t="shared" ca="1" si="5"/>
        <v>39407.875</v>
      </c>
      <c r="AL28" s="186">
        <f t="shared" ca="1" si="5"/>
        <v>39410.75</v>
      </c>
      <c r="AM28" s="186">
        <f t="shared" ca="1" si="5"/>
        <v>39413.625</v>
      </c>
      <c r="AN28" s="186">
        <f t="shared" ca="1" si="5"/>
        <v>39416.5</v>
      </c>
      <c r="AO28" s="186">
        <f t="shared" ca="1" si="5"/>
        <v>39419.375</v>
      </c>
      <c r="AP28" s="186">
        <f t="shared" ca="1" si="5"/>
        <v>39422.25</v>
      </c>
      <c r="AQ28" s="186">
        <f t="shared" ca="1" si="5"/>
        <v>39425.125</v>
      </c>
      <c r="AR28" s="186">
        <f t="shared" ca="1" si="5"/>
        <v>39428</v>
      </c>
    </row>
    <row r="29" spans="1:44" x14ac:dyDescent="0.25">
      <c r="A29" s="181" t="s">
        <v>32</v>
      </c>
      <c r="B29" s="179"/>
      <c r="C29" s="179"/>
      <c r="D29" s="180"/>
      <c r="E29" s="185">
        <f t="shared" ref="E29:AR29" ca="1" si="6">IF(E$20&gt;TODAY(), #N/A, IF(E$33&gt;0, SprintStart+((E$25*E$19)/E$33)-1, SprintStart))</f>
        <v>39316.213235294119</v>
      </c>
      <c r="F29" s="185">
        <f t="shared" ca="1" si="6"/>
        <v>39319.426470588238</v>
      </c>
      <c r="G29" s="185">
        <f t="shared" ca="1" si="6"/>
        <v>39322.63970588235</v>
      </c>
      <c r="H29" s="185">
        <f t="shared" ca="1" si="6"/>
        <v>39325.852941176468</v>
      </c>
      <c r="I29" s="185">
        <f t="shared" ca="1" si="6"/>
        <v>39329.066176470587</v>
      </c>
      <c r="J29" s="185">
        <f t="shared" ca="1" si="6"/>
        <v>39332.279411764706</v>
      </c>
      <c r="K29" s="185">
        <f t="shared" ca="1" si="6"/>
        <v>39335.492647058825</v>
      </c>
      <c r="L29" s="185">
        <f t="shared" ca="1" si="6"/>
        <v>39338.705882352944</v>
      </c>
      <c r="M29" s="185">
        <f t="shared" ca="1" si="6"/>
        <v>39341.919117647056</v>
      </c>
      <c r="N29" s="185">
        <f t="shared" ca="1" si="6"/>
        <v>39345.132352941175</v>
      </c>
      <c r="O29" s="185">
        <f t="shared" ca="1" si="6"/>
        <v>39348.345588235294</v>
      </c>
      <c r="P29" s="185">
        <f t="shared" ca="1" si="6"/>
        <v>39351.558823529413</v>
      </c>
      <c r="Q29" s="185">
        <f t="shared" ca="1" si="6"/>
        <v>39354.772058823532</v>
      </c>
      <c r="R29" s="185">
        <f t="shared" ca="1" si="6"/>
        <v>39357.98529411765</v>
      </c>
      <c r="S29" s="185">
        <f t="shared" ca="1" si="6"/>
        <v>39361.198529411762</v>
      </c>
      <c r="T29" s="185">
        <f t="shared" ca="1" si="6"/>
        <v>39364.411764705881</v>
      </c>
      <c r="U29" s="185">
        <f t="shared" ca="1" si="6"/>
        <v>39367.625</v>
      </c>
      <c r="V29" s="185">
        <f t="shared" ca="1" si="6"/>
        <v>39370.838235294119</v>
      </c>
      <c r="W29" s="185">
        <f t="shared" ca="1" si="6"/>
        <v>39374.051470588238</v>
      </c>
      <c r="X29" s="185">
        <f t="shared" ca="1" si="6"/>
        <v>39377.26470588235</v>
      </c>
      <c r="Y29" s="185">
        <f t="shared" ca="1" si="6"/>
        <v>39380.477941176468</v>
      </c>
      <c r="Z29" s="185">
        <f t="shared" ca="1" si="6"/>
        <v>39383.691176470587</v>
      </c>
      <c r="AA29" s="185">
        <f t="shared" ca="1" si="6"/>
        <v>39386.904411764706</v>
      </c>
      <c r="AB29" s="185">
        <f t="shared" ca="1" si="6"/>
        <v>39390.117647058825</v>
      </c>
      <c r="AC29" s="185">
        <f t="shared" ca="1" si="6"/>
        <v>39393.330882352944</v>
      </c>
      <c r="AD29" s="185">
        <f t="shared" ca="1" si="6"/>
        <v>39396.544117647056</v>
      </c>
      <c r="AE29" s="185">
        <f t="shared" ca="1" si="6"/>
        <v>39399.757352941175</v>
      </c>
      <c r="AF29" s="185">
        <f t="shared" ca="1" si="6"/>
        <v>39402.970588235294</v>
      </c>
      <c r="AG29" s="185">
        <f t="shared" ca="1" si="6"/>
        <v>39406.183823529413</v>
      </c>
      <c r="AH29" s="177">
        <f t="shared" ca="1" si="6"/>
        <v>39409.397058823532</v>
      </c>
      <c r="AI29" s="186">
        <f t="shared" ca="1" si="6"/>
        <v>39424.040983606559</v>
      </c>
      <c r="AJ29" s="186">
        <f t="shared" ca="1" si="6"/>
        <v>39427.62295081967</v>
      </c>
      <c r="AK29" s="186">
        <f t="shared" ca="1" si="6"/>
        <v>39431.204918032789</v>
      </c>
      <c r="AL29" s="186">
        <f t="shared" ca="1" si="6"/>
        <v>39434.7868852459</v>
      </c>
      <c r="AM29" s="186">
        <f t="shared" ca="1" si="6"/>
        <v>39438.368852459018</v>
      </c>
      <c r="AN29" s="186">
        <f t="shared" ca="1" si="6"/>
        <v>39441.950819672129</v>
      </c>
      <c r="AO29" s="186">
        <f t="shared" ca="1" si="6"/>
        <v>39445.532786885247</v>
      </c>
      <c r="AP29" s="186">
        <f t="shared" ca="1" si="6"/>
        <v>39449.114754098358</v>
      </c>
      <c r="AQ29" s="186">
        <f t="shared" ca="1" si="6"/>
        <v>39452.696721311477</v>
      </c>
      <c r="AR29" s="186">
        <f t="shared" ca="1" si="6"/>
        <v>39456.278688524588</v>
      </c>
    </row>
    <row r="30" spans="1:44" x14ac:dyDescent="0.25">
      <c r="A30" s="181"/>
      <c r="B30" s="179"/>
      <c r="C30" s="179"/>
      <c r="D30" s="180"/>
      <c r="E30" s="179"/>
      <c r="F30" s="179"/>
      <c r="G30" s="179"/>
      <c r="H30" s="179"/>
      <c r="I30" s="179"/>
      <c r="J30" s="179"/>
      <c r="K30" s="179"/>
      <c r="L30" s="179"/>
      <c r="M30" s="179"/>
      <c r="N30" s="179"/>
      <c r="O30" s="179"/>
      <c r="P30" s="179"/>
      <c r="Q30" s="179"/>
      <c r="R30" s="179"/>
      <c r="S30" s="179"/>
      <c r="T30" s="179"/>
      <c r="U30" s="179"/>
      <c r="V30" s="179"/>
      <c r="W30" s="179"/>
      <c r="X30" s="179"/>
      <c r="Y30" s="179"/>
      <c r="Z30" s="179"/>
      <c r="AA30" s="179"/>
      <c r="AB30" s="179"/>
      <c r="AC30" s="179"/>
      <c r="AD30" s="179"/>
      <c r="AE30" s="179"/>
      <c r="AF30" s="179"/>
      <c r="AG30" s="179"/>
      <c r="AH30" s="174"/>
      <c r="AI30" s="182"/>
      <c r="AJ30" s="182"/>
      <c r="AK30" s="182"/>
      <c r="AL30" s="182"/>
      <c r="AM30" s="182"/>
      <c r="AN30" s="182"/>
      <c r="AO30" s="182"/>
      <c r="AP30" s="182"/>
      <c r="AQ30" s="182"/>
      <c r="AR30" s="182"/>
    </row>
    <row r="31" spans="1:44" x14ac:dyDescent="0.25">
      <c r="A31" s="181" t="s">
        <v>28</v>
      </c>
      <c r="B31" s="179"/>
      <c r="C31" s="179"/>
      <c r="D31" s="180"/>
      <c r="E31" s="179">
        <f t="shared" ref="E31:AR31" ca="1" si="7">IF(E$20&gt;TODAY(), #N/A, SUMIF(INDEX(Burndown,,(E$19-1)*BurndownColumns+StatusColumn), "=Pending",INDEX(Burndown,,(E$19-1)*BurndownColumns+HoursLeftColumn)))</f>
        <v>269</v>
      </c>
      <c r="F31" s="179">
        <f t="shared" ca="1" si="7"/>
        <v>269</v>
      </c>
      <c r="G31" s="179">
        <f t="shared" ca="1" si="7"/>
        <v>269</v>
      </c>
      <c r="H31" s="179">
        <f t="shared" ca="1" si="7"/>
        <v>269</v>
      </c>
      <c r="I31" s="179">
        <f t="shared" ca="1" si="7"/>
        <v>269</v>
      </c>
      <c r="J31" s="179">
        <f t="shared" ca="1" si="7"/>
        <v>269</v>
      </c>
      <c r="K31" s="179">
        <f t="shared" ca="1" si="7"/>
        <v>269</v>
      </c>
      <c r="L31" s="179">
        <f t="shared" ca="1" si="7"/>
        <v>269</v>
      </c>
      <c r="M31" s="179">
        <f t="shared" ca="1" si="7"/>
        <v>269</v>
      </c>
      <c r="N31" s="179">
        <f t="shared" ca="1" si="7"/>
        <v>269</v>
      </c>
      <c r="O31" s="179">
        <f t="shared" ca="1" si="7"/>
        <v>269</v>
      </c>
      <c r="P31" s="179">
        <f t="shared" ca="1" si="7"/>
        <v>269</v>
      </c>
      <c r="Q31" s="179">
        <f t="shared" ca="1" si="7"/>
        <v>269</v>
      </c>
      <c r="R31" s="179">
        <f t="shared" ca="1" si="7"/>
        <v>269</v>
      </c>
      <c r="S31" s="179">
        <f t="shared" ca="1" si="7"/>
        <v>269</v>
      </c>
      <c r="T31" s="179">
        <f t="shared" ca="1" si="7"/>
        <v>269</v>
      </c>
      <c r="U31" s="179">
        <f t="shared" ca="1" si="7"/>
        <v>269</v>
      </c>
      <c r="V31" s="179">
        <f t="shared" ca="1" si="7"/>
        <v>269</v>
      </c>
      <c r="W31" s="179">
        <f t="shared" ca="1" si="7"/>
        <v>269</v>
      </c>
      <c r="X31" s="179">
        <f t="shared" ca="1" si="7"/>
        <v>269</v>
      </c>
      <c r="Y31" s="179">
        <f t="shared" ca="1" si="7"/>
        <v>269</v>
      </c>
      <c r="Z31" s="179">
        <f t="shared" ca="1" si="7"/>
        <v>269</v>
      </c>
      <c r="AA31" s="179">
        <f t="shared" ca="1" si="7"/>
        <v>269</v>
      </c>
      <c r="AB31" s="179">
        <f t="shared" ca="1" si="7"/>
        <v>269</v>
      </c>
      <c r="AC31" s="179">
        <f t="shared" ca="1" si="7"/>
        <v>269</v>
      </c>
      <c r="AD31" s="179">
        <f t="shared" ca="1" si="7"/>
        <v>269</v>
      </c>
      <c r="AE31" s="179">
        <f t="shared" ca="1" si="7"/>
        <v>269</v>
      </c>
      <c r="AF31" s="179">
        <f t="shared" ca="1" si="7"/>
        <v>269</v>
      </c>
      <c r="AG31" s="179">
        <f t="shared" ca="1" si="7"/>
        <v>269</v>
      </c>
      <c r="AH31" s="174">
        <f t="shared" ca="1" si="7"/>
        <v>269</v>
      </c>
      <c r="AI31" s="182">
        <f t="shared" ca="1" si="7"/>
        <v>269</v>
      </c>
      <c r="AJ31" s="182">
        <f t="shared" ca="1" si="7"/>
        <v>269</v>
      </c>
      <c r="AK31" s="182">
        <f t="shared" ca="1" si="7"/>
        <v>269</v>
      </c>
      <c r="AL31" s="182">
        <f t="shared" ca="1" si="7"/>
        <v>269</v>
      </c>
      <c r="AM31" s="182">
        <f t="shared" ca="1" si="7"/>
        <v>269</v>
      </c>
      <c r="AN31" s="182">
        <f t="shared" ca="1" si="7"/>
        <v>269</v>
      </c>
      <c r="AO31" s="182">
        <f t="shared" ca="1" si="7"/>
        <v>269</v>
      </c>
      <c r="AP31" s="182">
        <f t="shared" ca="1" si="7"/>
        <v>269</v>
      </c>
      <c r="AQ31" s="182">
        <f t="shared" ca="1" si="7"/>
        <v>269</v>
      </c>
      <c r="AR31" s="182">
        <f t="shared" ca="1" si="7"/>
        <v>269</v>
      </c>
    </row>
    <row r="32" spans="1:44" x14ac:dyDescent="0.25">
      <c r="A32" s="181" t="s">
        <v>29</v>
      </c>
      <c r="B32" s="179"/>
      <c r="C32" s="179"/>
      <c r="D32" s="180"/>
      <c r="E32" s="187">
        <f t="shared" ref="E32:AR32" ca="1" si="8">E$22-E$31+E$24-E$33</f>
        <v>32</v>
      </c>
      <c r="F32" s="187">
        <f t="shared" ca="1" si="8"/>
        <v>32</v>
      </c>
      <c r="G32" s="187">
        <f t="shared" ca="1" si="8"/>
        <v>32</v>
      </c>
      <c r="H32" s="187">
        <f t="shared" ca="1" si="8"/>
        <v>32</v>
      </c>
      <c r="I32" s="187">
        <f t="shared" ca="1" si="8"/>
        <v>32</v>
      </c>
      <c r="J32" s="187">
        <f t="shared" ca="1" si="8"/>
        <v>32</v>
      </c>
      <c r="K32" s="187">
        <f t="shared" ca="1" si="8"/>
        <v>32</v>
      </c>
      <c r="L32" s="187">
        <f t="shared" ca="1" si="8"/>
        <v>32</v>
      </c>
      <c r="M32" s="187">
        <f t="shared" ca="1" si="8"/>
        <v>32</v>
      </c>
      <c r="N32" s="187">
        <f t="shared" ca="1" si="8"/>
        <v>32</v>
      </c>
      <c r="O32" s="187">
        <f t="shared" ca="1" si="8"/>
        <v>32</v>
      </c>
      <c r="P32" s="187">
        <f t="shared" ca="1" si="8"/>
        <v>32</v>
      </c>
      <c r="Q32" s="187">
        <f t="shared" ca="1" si="8"/>
        <v>32</v>
      </c>
      <c r="R32" s="187">
        <f t="shared" ca="1" si="8"/>
        <v>32</v>
      </c>
      <c r="S32" s="187">
        <f t="shared" ca="1" si="8"/>
        <v>32</v>
      </c>
      <c r="T32" s="187">
        <f t="shared" ca="1" si="8"/>
        <v>32</v>
      </c>
      <c r="U32" s="187">
        <f t="shared" ca="1" si="8"/>
        <v>32</v>
      </c>
      <c r="V32" s="187">
        <f t="shared" ca="1" si="8"/>
        <v>32</v>
      </c>
      <c r="W32" s="187">
        <f t="shared" ca="1" si="8"/>
        <v>32</v>
      </c>
      <c r="X32" s="187">
        <f t="shared" ca="1" si="8"/>
        <v>32</v>
      </c>
      <c r="Y32" s="187">
        <f t="shared" ca="1" si="8"/>
        <v>32</v>
      </c>
      <c r="Z32" s="187">
        <f t="shared" ca="1" si="8"/>
        <v>32</v>
      </c>
      <c r="AA32" s="187">
        <f t="shared" ca="1" si="8"/>
        <v>32</v>
      </c>
      <c r="AB32" s="187">
        <f t="shared" ca="1" si="8"/>
        <v>32</v>
      </c>
      <c r="AC32" s="187">
        <f t="shared" ca="1" si="8"/>
        <v>32</v>
      </c>
      <c r="AD32" s="187">
        <f t="shared" ca="1" si="8"/>
        <v>32</v>
      </c>
      <c r="AE32" s="187">
        <f t="shared" ca="1" si="8"/>
        <v>32</v>
      </c>
      <c r="AF32" s="187">
        <f t="shared" ca="1" si="8"/>
        <v>32</v>
      </c>
      <c r="AG32" s="187">
        <f t="shared" ca="1" si="8"/>
        <v>32</v>
      </c>
      <c r="AH32" s="188">
        <f t="shared" ca="1" si="8"/>
        <v>32</v>
      </c>
      <c r="AI32" s="189">
        <f t="shared" ca="1" si="8"/>
        <v>46</v>
      </c>
      <c r="AJ32" s="189">
        <f t="shared" ca="1" si="8"/>
        <v>46</v>
      </c>
      <c r="AK32" s="189">
        <f t="shared" ca="1" si="8"/>
        <v>46</v>
      </c>
      <c r="AL32" s="189">
        <f t="shared" ca="1" si="8"/>
        <v>46</v>
      </c>
      <c r="AM32" s="189">
        <f t="shared" ca="1" si="8"/>
        <v>46</v>
      </c>
      <c r="AN32" s="189">
        <f t="shared" ca="1" si="8"/>
        <v>46</v>
      </c>
      <c r="AO32" s="189">
        <f t="shared" ca="1" si="8"/>
        <v>46</v>
      </c>
      <c r="AP32" s="189">
        <f t="shared" ca="1" si="8"/>
        <v>46</v>
      </c>
      <c r="AQ32" s="189">
        <f t="shared" ca="1" si="8"/>
        <v>46</v>
      </c>
      <c r="AR32" s="189">
        <f t="shared" ca="1" si="8"/>
        <v>46</v>
      </c>
    </row>
    <row r="33" spans="1:44" x14ac:dyDescent="0.25">
      <c r="A33" s="181" t="s">
        <v>30</v>
      </c>
      <c r="B33" s="179"/>
      <c r="C33" s="179"/>
      <c r="D33" s="180"/>
      <c r="E33" s="179">
        <f t="shared" ref="E33:AR33" ca="1" si="9">IF(E$20&gt;TODAY(), #N/A, SUMIF(INDEX(Burndown,,(E$19-1)*BurndownColumns+StatusColumn), "=Complete",TotalEffort))</f>
        <v>136</v>
      </c>
      <c r="F33" s="179">
        <f t="shared" ca="1" si="9"/>
        <v>136</v>
      </c>
      <c r="G33" s="179">
        <f t="shared" ca="1" si="9"/>
        <v>136</v>
      </c>
      <c r="H33" s="179">
        <f t="shared" ca="1" si="9"/>
        <v>136</v>
      </c>
      <c r="I33" s="179">
        <f t="shared" ca="1" si="9"/>
        <v>136</v>
      </c>
      <c r="J33" s="179">
        <f t="shared" ca="1" si="9"/>
        <v>136</v>
      </c>
      <c r="K33" s="179">
        <f t="shared" ca="1" si="9"/>
        <v>136</v>
      </c>
      <c r="L33" s="179">
        <f t="shared" ca="1" si="9"/>
        <v>136</v>
      </c>
      <c r="M33" s="179">
        <f t="shared" ca="1" si="9"/>
        <v>136</v>
      </c>
      <c r="N33" s="179">
        <f t="shared" ca="1" si="9"/>
        <v>136</v>
      </c>
      <c r="O33" s="179">
        <f t="shared" ca="1" si="9"/>
        <v>136</v>
      </c>
      <c r="P33" s="179">
        <f t="shared" ca="1" si="9"/>
        <v>136</v>
      </c>
      <c r="Q33" s="179">
        <f t="shared" ca="1" si="9"/>
        <v>136</v>
      </c>
      <c r="R33" s="179">
        <f t="shared" ca="1" si="9"/>
        <v>136</v>
      </c>
      <c r="S33" s="179">
        <f t="shared" ca="1" si="9"/>
        <v>136</v>
      </c>
      <c r="T33" s="179">
        <f t="shared" ca="1" si="9"/>
        <v>136</v>
      </c>
      <c r="U33" s="179">
        <f t="shared" ca="1" si="9"/>
        <v>136</v>
      </c>
      <c r="V33" s="179">
        <f t="shared" ca="1" si="9"/>
        <v>136</v>
      </c>
      <c r="W33" s="179">
        <f t="shared" ca="1" si="9"/>
        <v>136</v>
      </c>
      <c r="X33" s="179">
        <f t="shared" ca="1" si="9"/>
        <v>136</v>
      </c>
      <c r="Y33" s="179">
        <f t="shared" ca="1" si="9"/>
        <v>136</v>
      </c>
      <c r="Z33" s="179">
        <f t="shared" ca="1" si="9"/>
        <v>136</v>
      </c>
      <c r="AA33" s="179">
        <f t="shared" ca="1" si="9"/>
        <v>136</v>
      </c>
      <c r="AB33" s="179">
        <f t="shared" ca="1" si="9"/>
        <v>136</v>
      </c>
      <c r="AC33" s="179">
        <f t="shared" ca="1" si="9"/>
        <v>136</v>
      </c>
      <c r="AD33" s="179">
        <f t="shared" ca="1" si="9"/>
        <v>136</v>
      </c>
      <c r="AE33" s="179">
        <f t="shared" ca="1" si="9"/>
        <v>136</v>
      </c>
      <c r="AF33" s="179">
        <f t="shared" ca="1" si="9"/>
        <v>136</v>
      </c>
      <c r="AG33" s="179">
        <f t="shared" ca="1" si="9"/>
        <v>136</v>
      </c>
      <c r="AH33" s="174">
        <f t="shared" ca="1" si="9"/>
        <v>136</v>
      </c>
      <c r="AI33" s="182">
        <f t="shared" ca="1" si="9"/>
        <v>122</v>
      </c>
      <c r="AJ33" s="182">
        <f t="shared" ca="1" si="9"/>
        <v>122</v>
      </c>
      <c r="AK33" s="182">
        <f t="shared" ca="1" si="9"/>
        <v>122</v>
      </c>
      <c r="AL33" s="182">
        <f t="shared" ca="1" si="9"/>
        <v>122</v>
      </c>
      <c r="AM33" s="182">
        <f t="shared" ca="1" si="9"/>
        <v>122</v>
      </c>
      <c r="AN33" s="182">
        <f t="shared" ca="1" si="9"/>
        <v>122</v>
      </c>
      <c r="AO33" s="182">
        <f t="shared" ca="1" si="9"/>
        <v>122</v>
      </c>
      <c r="AP33" s="182">
        <f t="shared" ca="1" si="9"/>
        <v>122</v>
      </c>
      <c r="AQ33" s="182">
        <f t="shared" ca="1" si="9"/>
        <v>122</v>
      </c>
      <c r="AR33" s="182">
        <f t="shared" ca="1" si="9"/>
        <v>122</v>
      </c>
    </row>
    <row r="34" spans="1:44" x14ac:dyDescent="0.25">
      <c r="A34" s="181"/>
      <c r="B34" s="179"/>
      <c r="C34" s="179"/>
      <c r="D34" s="180"/>
      <c r="E34" s="179"/>
      <c r="F34" s="179"/>
      <c r="G34" s="179"/>
      <c r="H34" s="179"/>
      <c r="I34" s="179"/>
      <c r="J34" s="179"/>
      <c r="K34" s="179"/>
      <c r="L34" s="179"/>
      <c r="M34" s="179"/>
      <c r="N34" s="179"/>
      <c r="O34" s="179"/>
      <c r="P34" s="179"/>
      <c r="Q34" s="179"/>
      <c r="R34" s="179"/>
      <c r="S34" s="179"/>
      <c r="T34" s="179"/>
      <c r="U34" s="179"/>
      <c r="V34" s="179"/>
      <c r="W34" s="179"/>
      <c r="X34" s="179"/>
      <c r="Y34" s="179"/>
      <c r="Z34" s="179"/>
      <c r="AA34" s="179"/>
      <c r="AB34" s="179"/>
      <c r="AC34" s="179"/>
      <c r="AD34" s="179"/>
      <c r="AE34" s="179"/>
      <c r="AF34" s="179"/>
      <c r="AG34" s="179"/>
      <c r="AH34" s="174"/>
      <c r="AI34" s="182"/>
      <c r="AJ34" s="182"/>
      <c r="AK34" s="182"/>
      <c r="AL34" s="182"/>
      <c r="AM34" s="182"/>
      <c r="AN34" s="182"/>
      <c r="AO34" s="182"/>
      <c r="AP34" s="182"/>
      <c r="AQ34" s="182"/>
      <c r="AR34" s="182"/>
    </row>
    <row r="35" spans="1:44" x14ac:dyDescent="0.25">
      <c r="A35" s="181" t="s">
        <v>11</v>
      </c>
      <c r="B35" s="179"/>
      <c r="C35" s="179"/>
      <c r="D35" s="180"/>
      <c r="E35" s="179">
        <f t="shared" ref="E35:AR35" ca="1" si="10">IF(E20&gt;TODAY(), #N/A, COUNTIF(INDEX(Burndown,,(E19-1)*BurndownColumns+StatusColumn), "=Pending"))</f>
        <v>29</v>
      </c>
      <c r="F35" s="179">
        <f t="shared" ca="1" si="10"/>
        <v>29</v>
      </c>
      <c r="G35" s="179">
        <f t="shared" ca="1" si="10"/>
        <v>29</v>
      </c>
      <c r="H35" s="179">
        <f t="shared" ca="1" si="10"/>
        <v>29</v>
      </c>
      <c r="I35" s="179">
        <f t="shared" ca="1" si="10"/>
        <v>29</v>
      </c>
      <c r="J35" s="179">
        <f t="shared" ca="1" si="10"/>
        <v>29</v>
      </c>
      <c r="K35" s="179">
        <f t="shared" ca="1" si="10"/>
        <v>29</v>
      </c>
      <c r="L35" s="179">
        <f t="shared" ca="1" si="10"/>
        <v>29</v>
      </c>
      <c r="M35" s="179">
        <f t="shared" ca="1" si="10"/>
        <v>29</v>
      </c>
      <c r="N35" s="179">
        <f t="shared" ca="1" si="10"/>
        <v>29</v>
      </c>
      <c r="O35" s="179">
        <f t="shared" ca="1" si="10"/>
        <v>29</v>
      </c>
      <c r="P35" s="179">
        <f t="shared" ca="1" si="10"/>
        <v>29</v>
      </c>
      <c r="Q35" s="179">
        <f t="shared" ca="1" si="10"/>
        <v>29</v>
      </c>
      <c r="R35" s="179">
        <f t="shared" ca="1" si="10"/>
        <v>29</v>
      </c>
      <c r="S35" s="179">
        <f t="shared" ca="1" si="10"/>
        <v>29</v>
      </c>
      <c r="T35" s="179">
        <f t="shared" ca="1" si="10"/>
        <v>29</v>
      </c>
      <c r="U35" s="179">
        <f t="shared" ca="1" si="10"/>
        <v>29</v>
      </c>
      <c r="V35" s="179">
        <f t="shared" ca="1" si="10"/>
        <v>29</v>
      </c>
      <c r="W35" s="179">
        <f t="shared" ca="1" si="10"/>
        <v>29</v>
      </c>
      <c r="X35" s="179">
        <f t="shared" ca="1" si="10"/>
        <v>29</v>
      </c>
      <c r="Y35" s="179">
        <f t="shared" ca="1" si="10"/>
        <v>29</v>
      </c>
      <c r="Z35" s="179">
        <f t="shared" ca="1" si="10"/>
        <v>29</v>
      </c>
      <c r="AA35" s="179">
        <f t="shared" ca="1" si="10"/>
        <v>29</v>
      </c>
      <c r="AB35" s="179">
        <f t="shared" ca="1" si="10"/>
        <v>29</v>
      </c>
      <c r="AC35" s="179">
        <f t="shared" ca="1" si="10"/>
        <v>29</v>
      </c>
      <c r="AD35" s="179">
        <f t="shared" ca="1" si="10"/>
        <v>29</v>
      </c>
      <c r="AE35" s="179">
        <f t="shared" ca="1" si="10"/>
        <v>29</v>
      </c>
      <c r="AF35" s="179">
        <f t="shared" ca="1" si="10"/>
        <v>29</v>
      </c>
      <c r="AG35" s="179">
        <f t="shared" ca="1" si="10"/>
        <v>29</v>
      </c>
      <c r="AH35" s="179">
        <f t="shared" ca="1" si="10"/>
        <v>29</v>
      </c>
      <c r="AI35" s="179">
        <f t="shared" ca="1" si="10"/>
        <v>29</v>
      </c>
      <c r="AJ35" s="179">
        <f t="shared" ca="1" si="10"/>
        <v>29</v>
      </c>
      <c r="AK35" s="179">
        <f t="shared" ca="1" si="10"/>
        <v>29</v>
      </c>
      <c r="AL35" s="179">
        <f t="shared" ca="1" si="10"/>
        <v>29</v>
      </c>
      <c r="AM35" s="179">
        <f t="shared" ca="1" si="10"/>
        <v>29</v>
      </c>
      <c r="AN35" s="179">
        <f t="shared" ca="1" si="10"/>
        <v>29</v>
      </c>
      <c r="AO35" s="179">
        <f t="shared" ca="1" si="10"/>
        <v>29</v>
      </c>
      <c r="AP35" s="179">
        <f t="shared" ca="1" si="10"/>
        <v>29</v>
      </c>
      <c r="AQ35" s="179">
        <f t="shared" ca="1" si="10"/>
        <v>29</v>
      </c>
      <c r="AR35" s="179">
        <f t="shared" ca="1" si="10"/>
        <v>29</v>
      </c>
    </row>
    <row r="36" spans="1:44" x14ac:dyDescent="0.25">
      <c r="A36" s="181" t="s">
        <v>7</v>
      </c>
      <c r="B36" s="179"/>
      <c r="C36" s="179"/>
      <c r="D36" s="180"/>
      <c r="E36" s="179">
        <f t="shared" ref="E36:AR36" ca="1" si="11">IF(E20&gt;TODAY(), #N/A, COUNTIF(INDEX(Burndown,,(E19-1)*BurndownColumns+StatusColumn), "=In Progress"))</f>
        <v>2</v>
      </c>
      <c r="F36" s="179">
        <f t="shared" ca="1" si="11"/>
        <v>2</v>
      </c>
      <c r="G36" s="179">
        <f t="shared" ca="1" si="11"/>
        <v>2</v>
      </c>
      <c r="H36" s="179">
        <f t="shared" ca="1" si="11"/>
        <v>2</v>
      </c>
      <c r="I36" s="179">
        <f t="shared" ca="1" si="11"/>
        <v>2</v>
      </c>
      <c r="J36" s="179">
        <f t="shared" ca="1" si="11"/>
        <v>2</v>
      </c>
      <c r="K36" s="179">
        <f t="shared" ca="1" si="11"/>
        <v>2</v>
      </c>
      <c r="L36" s="179">
        <f t="shared" ca="1" si="11"/>
        <v>2</v>
      </c>
      <c r="M36" s="179">
        <f t="shared" ca="1" si="11"/>
        <v>2</v>
      </c>
      <c r="N36" s="179">
        <f t="shared" ca="1" si="11"/>
        <v>2</v>
      </c>
      <c r="O36" s="179">
        <f t="shared" ca="1" si="11"/>
        <v>2</v>
      </c>
      <c r="P36" s="179">
        <f t="shared" ca="1" si="11"/>
        <v>2</v>
      </c>
      <c r="Q36" s="179">
        <f t="shared" ca="1" si="11"/>
        <v>2</v>
      </c>
      <c r="R36" s="179">
        <f t="shared" ca="1" si="11"/>
        <v>2</v>
      </c>
      <c r="S36" s="179">
        <f t="shared" ca="1" si="11"/>
        <v>2</v>
      </c>
      <c r="T36" s="179">
        <f t="shared" ca="1" si="11"/>
        <v>2</v>
      </c>
      <c r="U36" s="179">
        <f t="shared" ca="1" si="11"/>
        <v>2</v>
      </c>
      <c r="V36" s="179">
        <f t="shared" ca="1" si="11"/>
        <v>2</v>
      </c>
      <c r="W36" s="179">
        <f t="shared" ca="1" si="11"/>
        <v>2</v>
      </c>
      <c r="X36" s="179">
        <f t="shared" ca="1" si="11"/>
        <v>2</v>
      </c>
      <c r="Y36" s="179">
        <f t="shared" ca="1" si="11"/>
        <v>2</v>
      </c>
      <c r="Z36" s="179">
        <f t="shared" ca="1" si="11"/>
        <v>2</v>
      </c>
      <c r="AA36" s="179">
        <f t="shared" ca="1" si="11"/>
        <v>2</v>
      </c>
      <c r="AB36" s="179">
        <f t="shared" ca="1" si="11"/>
        <v>2</v>
      </c>
      <c r="AC36" s="179">
        <f t="shared" ca="1" si="11"/>
        <v>2</v>
      </c>
      <c r="AD36" s="179">
        <f t="shared" ca="1" si="11"/>
        <v>2</v>
      </c>
      <c r="AE36" s="179">
        <f t="shared" ca="1" si="11"/>
        <v>2</v>
      </c>
      <c r="AF36" s="179">
        <f t="shared" ca="1" si="11"/>
        <v>2</v>
      </c>
      <c r="AG36" s="179">
        <f t="shared" ca="1" si="11"/>
        <v>2</v>
      </c>
      <c r="AH36" s="174">
        <f t="shared" ca="1" si="11"/>
        <v>2</v>
      </c>
      <c r="AI36" s="182">
        <f t="shared" ca="1" si="11"/>
        <v>2</v>
      </c>
      <c r="AJ36" s="182">
        <f t="shared" ca="1" si="11"/>
        <v>2</v>
      </c>
      <c r="AK36" s="182">
        <f t="shared" ca="1" si="11"/>
        <v>2</v>
      </c>
      <c r="AL36" s="182">
        <f t="shared" ca="1" si="11"/>
        <v>2</v>
      </c>
      <c r="AM36" s="182">
        <f t="shared" ca="1" si="11"/>
        <v>2</v>
      </c>
      <c r="AN36" s="182">
        <f t="shared" ca="1" si="11"/>
        <v>2</v>
      </c>
      <c r="AO36" s="182">
        <f t="shared" ca="1" si="11"/>
        <v>2</v>
      </c>
      <c r="AP36" s="182">
        <f t="shared" ca="1" si="11"/>
        <v>2</v>
      </c>
      <c r="AQ36" s="182">
        <f t="shared" ca="1" si="11"/>
        <v>2</v>
      </c>
      <c r="AR36" s="182">
        <f t="shared" ca="1" si="11"/>
        <v>2</v>
      </c>
    </row>
    <row r="37" spans="1:44" x14ac:dyDescent="0.25">
      <c r="A37" s="181" t="s">
        <v>8</v>
      </c>
      <c r="B37" s="179"/>
      <c r="C37" s="179"/>
      <c r="D37" s="180"/>
      <c r="E37" s="179">
        <f t="shared" ref="E37:AR37" ca="1" si="12">IF(E20&gt;TODAY(), #N/A, COUNTIF(INDEX(Burndown,,(E19-1)*BurndownColumns+StatusColumn), "=Complete"))</f>
        <v>25</v>
      </c>
      <c r="F37" s="179">
        <f t="shared" ca="1" si="12"/>
        <v>25</v>
      </c>
      <c r="G37" s="179">
        <f t="shared" ca="1" si="12"/>
        <v>25</v>
      </c>
      <c r="H37" s="179">
        <f t="shared" ca="1" si="12"/>
        <v>25</v>
      </c>
      <c r="I37" s="179">
        <f t="shared" ca="1" si="12"/>
        <v>25</v>
      </c>
      <c r="J37" s="179">
        <f t="shared" ca="1" si="12"/>
        <v>25</v>
      </c>
      <c r="K37" s="179">
        <f t="shared" ca="1" si="12"/>
        <v>25</v>
      </c>
      <c r="L37" s="179">
        <f t="shared" ca="1" si="12"/>
        <v>25</v>
      </c>
      <c r="M37" s="179">
        <f t="shared" ca="1" si="12"/>
        <v>25</v>
      </c>
      <c r="N37" s="179">
        <f t="shared" ca="1" si="12"/>
        <v>25</v>
      </c>
      <c r="O37" s="179">
        <f t="shared" ca="1" si="12"/>
        <v>25</v>
      </c>
      <c r="P37" s="179">
        <f t="shared" ca="1" si="12"/>
        <v>25</v>
      </c>
      <c r="Q37" s="179">
        <f t="shared" ca="1" si="12"/>
        <v>25</v>
      </c>
      <c r="R37" s="179">
        <f t="shared" ca="1" si="12"/>
        <v>25</v>
      </c>
      <c r="S37" s="179">
        <f t="shared" ca="1" si="12"/>
        <v>25</v>
      </c>
      <c r="T37" s="179">
        <f t="shared" ca="1" si="12"/>
        <v>25</v>
      </c>
      <c r="U37" s="179">
        <f t="shared" ca="1" si="12"/>
        <v>25</v>
      </c>
      <c r="V37" s="179">
        <f t="shared" ca="1" si="12"/>
        <v>25</v>
      </c>
      <c r="W37" s="179">
        <f t="shared" ca="1" si="12"/>
        <v>25</v>
      </c>
      <c r="X37" s="179">
        <f t="shared" ca="1" si="12"/>
        <v>25</v>
      </c>
      <c r="Y37" s="179">
        <f t="shared" ca="1" si="12"/>
        <v>25</v>
      </c>
      <c r="Z37" s="179">
        <f t="shared" ca="1" si="12"/>
        <v>25</v>
      </c>
      <c r="AA37" s="179">
        <f t="shared" ca="1" si="12"/>
        <v>25</v>
      </c>
      <c r="AB37" s="179">
        <f t="shared" ca="1" si="12"/>
        <v>25</v>
      </c>
      <c r="AC37" s="179">
        <f t="shared" ca="1" si="12"/>
        <v>25</v>
      </c>
      <c r="AD37" s="179">
        <f t="shared" ca="1" si="12"/>
        <v>25</v>
      </c>
      <c r="AE37" s="179">
        <f t="shared" ca="1" si="12"/>
        <v>25</v>
      </c>
      <c r="AF37" s="179">
        <f t="shared" ca="1" si="12"/>
        <v>25</v>
      </c>
      <c r="AG37" s="179">
        <f t="shared" ca="1" si="12"/>
        <v>25</v>
      </c>
      <c r="AH37" s="174">
        <f t="shared" ca="1" si="12"/>
        <v>25</v>
      </c>
      <c r="AI37" s="182">
        <f t="shared" ca="1" si="12"/>
        <v>21</v>
      </c>
      <c r="AJ37" s="182">
        <f t="shared" ca="1" si="12"/>
        <v>21</v>
      </c>
      <c r="AK37" s="182">
        <f t="shared" ca="1" si="12"/>
        <v>21</v>
      </c>
      <c r="AL37" s="182">
        <f t="shared" ca="1" si="12"/>
        <v>21</v>
      </c>
      <c r="AM37" s="182">
        <f t="shared" ca="1" si="12"/>
        <v>21</v>
      </c>
      <c r="AN37" s="182">
        <f t="shared" ca="1" si="12"/>
        <v>21</v>
      </c>
      <c r="AO37" s="182">
        <f t="shared" ca="1" si="12"/>
        <v>21</v>
      </c>
      <c r="AP37" s="182">
        <f t="shared" ca="1" si="12"/>
        <v>21</v>
      </c>
      <c r="AQ37" s="182">
        <f t="shared" ca="1" si="12"/>
        <v>21</v>
      </c>
      <c r="AR37" s="182">
        <f t="shared" ca="1" si="12"/>
        <v>21</v>
      </c>
    </row>
    <row r="38" spans="1:44" x14ac:dyDescent="0.25">
      <c r="A38" s="179"/>
      <c r="B38" s="179"/>
      <c r="C38" s="179"/>
      <c r="D38" s="179"/>
      <c r="E38" s="179"/>
      <c r="F38" s="179"/>
      <c r="H38" s="179"/>
      <c r="I38" s="179"/>
      <c r="J38" s="179"/>
      <c r="K38" s="179"/>
      <c r="L38" s="179"/>
      <c r="M38" s="179"/>
      <c r="N38" s="179"/>
      <c r="O38" s="179"/>
      <c r="P38" s="179"/>
      <c r="Q38" s="179"/>
      <c r="R38" s="179"/>
      <c r="S38" s="179"/>
      <c r="T38" s="179"/>
      <c r="U38" s="179"/>
      <c r="V38" s="179"/>
      <c r="W38" s="179"/>
      <c r="X38" s="179"/>
      <c r="Y38" s="179"/>
      <c r="Z38" s="179"/>
      <c r="AA38" s="179"/>
      <c r="AB38" s="179"/>
      <c r="AC38" s="179"/>
      <c r="AD38" s="179"/>
      <c r="AE38" s="179"/>
      <c r="AF38" s="179"/>
      <c r="AG38" s="179"/>
      <c r="AH38" s="179"/>
    </row>
    <row r="39" spans="1:44" x14ac:dyDescent="0.25">
      <c r="A39" s="181" t="s">
        <v>26</v>
      </c>
      <c r="B39" s="179"/>
      <c r="C39" s="179"/>
      <c r="D39" s="179"/>
      <c r="E39" s="173"/>
      <c r="F39" s="179"/>
      <c r="G39" s="181" t="s">
        <v>25</v>
      </c>
      <c r="H39" s="179"/>
      <c r="I39" s="179"/>
      <c r="J39" s="179"/>
      <c r="K39" s="179"/>
      <c r="L39" s="179"/>
      <c r="M39" s="179"/>
      <c r="N39" s="179"/>
      <c r="O39" s="179"/>
      <c r="P39" s="179"/>
      <c r="Q39" s="179"/>
      <c r="R39" s="179"/>
      <c r="S39" s="179"/>
      <c r="T39" s="179"/>
      <c r="U39" s="179"/>
      <c r="V39" s="179"/>
      <c r="W39" s="179"/>
      <c r="X39" s="179"/>
      <c r="Y39" s="179"/>
      <c r="Z39" s="179"/>
      <c r="AA39" s="179"/>
      <c r="AB39" s="179"/>
      <c r="AC39" s="179"/>
      <c r="AD39" s="179"/>
      <c r="AE39" s="179"/>
      <c r="AF39" s="179"/>
      <c r="AG39" s="179"/>
      <c r="AH39" s="179"/>
    </row>
    <row r="40" spans="1:44" ht="13.5" customHeight="1" x14ac:dyDescent="0.25">
      <c r="A40" s="181"/>
      <c r="B40" s="179" t="s">
        <v>27</v>
      </c>
      <c r="C40" s="179"/>
      <c r="D40" s="179"/>
      <c r="E40" s="179">
        <v>0</v>
      </c>
      <c r="F40" s="179"/>
      <c r="G40" s="179" t="s">
        <v>107</v>
      </c>
      <c r="H40" s="179"/>
      <c r="I40" s="179"/>
      <c r="J40" s="179"/>
      <c r="K40" s="179"/>
      <c r="L40" s="179"/>
      <c r="M40" s="179"/>
      <c r="N40" s="179"/>
      <c r="O40" s="179"/>
      <c r="P40" s="179"/>
      <c r="Q40" s="179"/>
      <c r="R40" s="179"/>
      <c r="S40" s="179"/>
      <c r="T40" s="179"/>
      <c r="U40" s="179"/>
      <c r="V40" s="179"/>
      <c r="W40" s="179"/>
      <c r="X40" s="179"/>
      <c r="Y40" s="179"/>
      <c r="Z40" s="179"/>
      <c r="AA40" s="179"/>
      <c r="AB40" s="179"/>
      <c r="AC40" s="179"/>
      <c r="AD40" s="179"/>
      <c r="AE40" s="179"/>
      <c r="AF40" s="179"/>
      <c r="AG40" s="179"/>
      <c r="AH40" s="179"/>
    </row>
    <row r="41" spans="1:44" ht="13.5" customHeight="1" x14ac:dyDescent="0.25">
      <c r="A41" s="181"/>
      <c r="B41" s="179" t="s">
        <v>108</v>
      </c>
      <c r="C41" s="179"/>
      <c r="D41" s="179"/>
      <c r="E41" s="179">
        <v>0</v>
      </c>
      <c r="F41" s="179"/>
      <c r="G41" s="179" t="s">
        <v>109</v>
      </c>
      <c r="H41" s="179"/>
      <c r="I41" s="179"/>
      <c r="J41" s="179"/>
      <c r="K41" s="179"/>
      <c r="L41" s="179"/>
      <c r="M41" s="179"/>
      <c r="N41" s="179"/>
      <c r="O41" s="179"/>
      <c r="P41" s="179"/>
      <c r="Q41" s="179"/>
      <c r="R41" s="179"/>
      <c r="S41" s="179"/>
      <c r="T41" s="179"/>
      <c r="U41" s="179"/>
      <c r="V41" s="179"/>
      <c r="W41" s="179"/>
      <c r="X41" s="179"/>
      <c r="Y41" s="179"/>
      <c r="Z41" s="179"/>
      <c r="AA41" s="179"/>
      <c r="AB41" s="179"/>
      <c r="AC41" s="179"/>
      <c r="AD41" s="179"/>
      <c r="AE41" s="179"/>
      <c r="AF41" s="179"/>
      <c r="AG41" s="179"/>
      <c r="AH41" s="179"/>
    </row>
    <row r="42" spans="1:44" x14ac:dyDescent="0.25">
      <c r="A42" s="181"/>
      <c r="B42" s="179"/>
      <c r="C42" s="179"/>
      <c r="D42" s="179"/>
      <c r="E42" s="173"/>
      <c r="F42" s="179"/>
      <c r="H42" s="179"/>
      <c r="I42" s="179"/>
      <c r="J42" s="179"/>
      <c r="K42" s="179"/>
      <c r="L42" s="179"/>
      <c r="M42" s="179"/>
      <c r="N42" s="179"/>
      <c r="O42" s="179"/>
      <c r="P42" s="179"/>
      <c r="Q42" s="179"/>
      <c r="R42" s="179"/>
      <c r="S42" s="179"/>
      <c r="T42" s="179"/>
      <c r="U42" s="179"/>
      <c r="V42" s="179"/>
      <c r="W42" s="179"/>
      <c r="X42" s="179"/>
      <c r="Y42" s="179"/>
      <c r="Z42" s="179"/>
      <c r="AA42" s="179"/>
      <c r="AB42" s="179"/>
      <c r="AC42" s="179"/>
      <c r="AD42" s="179"/>
      <c r="AE42" s="179"/>
      <c r="AF42" s="179"/>
      <c r="AG42" s="179"/>
      <c r="AH42" s="179"/>
    </row>
    <row r="43" spans="1:44" x14ac:dyDescent="0.25">
      <c r="A43" s="181" t="s">
        <v>18</v>
      </c>
      <c r="B43" s="179"/>
      <c r="C43" s="179"/>
      <c r="D43" s="179"/>
      <c r="E43" s="173"/>
      <c r="F43" s="179"/>
      <c r="G43" s="179"/>
      <c r="H43" s="179"/>
      <c r="I43" s="179"/>
      <c r="J43" s="179"/>
      <c r="K43" s="179"/>
      <c r="L43" s="179"/>
      <c r="M43" s="179"/>
      <c r="N43" s="179"/>
      <c r="O43" s="179"/>
      <c r="P43" s="179"/>
      <c r="Q43" s="179"/>
      <c r="R43" s="179"/>
      <c r="S43" s="179"/>
      <c r="T43" s="179"/>
      <c r="U43" s="179"/>
      <c r="V43" s="179"/>
      <c r="W43" s="179"/>
      <c r="X43" s="179"/>
      <c r="Y43" s="179"/>
      <c r="Z43" s="179"/>
      <c r="AA43" s="179"/>
      <c r="AB43" s="179"/>
      <c r="AC43" s="179"/>
      <c r="AD43" s="179"/>
      <c r="AE43" s="179"/>
      <c r="AF43" s="179"/>
      <c r="AG43" s="179"/>
      <c r="AH43" s="179"/>
    </row>
    <row r="44" spans="1:44" x14ac:dyDescent="0.25">
      <c r="A44" s="179"/>
      <c r="B44" s="179" t="s">
        <v>16</v>
      </c>
      <c r="C44" s="179"/>
      <c r="D44" s="179"/>
      <c r="E44" s="179">
        <v>3</v>
      </c>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row>
    <row r="45" spans="1:44" x14ac:dyDescent="0.25">
      <c r="A45" s="179"/>
      <c r="B45" s="179" t="s">
        <v>20</v>
      </c>
      <c r="C45" s="179"/>
      <c r="D45" s="179"/>
      <c r="E45" s="179">
        <v>1</v>
      </c>
      <c r="F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row>
    <row r="46" spans="1:44" x14ac:dyDescent="0.25">
      <c r="A46" s="179"/>
      <c r="B46" s="179" t="s">
        <v>19</v>
      </c>
      <c r="C46" s="179"/>
      <c r="D46" s="179"/>
      <c r="E46" s="179">
        <v>2</v>
      </c>
    </row>
    <row r="47" spans="1:44" x14ac:dyDescent="0.25">
      <c r="A47" s="179"/>
      <c r="B47" s="179" t="s">
        <v>17</v>
      </c>
      <c r="C47" s="179"/>
      <c r="D47" s="179"/>
      <c r="E47" s="179">
        <v>3</v>
      </c>
    </row>
    <row r="48" spans="1:44" x14ac:dyDescent="0.25">
      <c r="A48" s="179"/>
      <c r="C48" s="179"/>
      <c r="D48" s="179"/>
    </row>
    <row r="49" spans="1:1" x14ac:dyDescent="0.25">
      <c r="A49" s="181"/>
    </row>
    <row r="50" spans="1:1" x14ac:dyDescent="0.25">
      <c r="A50" s="179"/>
    </row>
    <row r="51" spans="1:1" x14ac:dyDescent="0.25">
      <c r="A51" s="179"/>
    </row>
  </sheetData>
  <phoneticPr fontId="2" type="noConversion"/>
  <conditionalFormatting sqref="D19:A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C8" sqref="C8:H14"/>
    </sheetView>
  </sheetViews>
  <sheetFormatPr defaultColWidth="9.1796875" defaultRowHeight="12.5" x14ac:dyDescent="0.25"/>
  <cols>
    <col min="1" max="1" width="2.7265625" style="43" customWidth="1"/>
    <col min="2" max="2" width="18.453125" style="43" bestFit="1" customWidth="1"/>
    <col min="3" max="4" width="14.1796875" style="43" bestFit="1" customWidth="1"/>
    <col min="5" max="6" width="15.1796875" style="43" bestFit="1" customWidth="1"/>
    <col min="7" max="7" width="10.81640625" style="43" customWidth="1"/>
    <col min="8" max="8" width="28.7265625" style="43" customWidth="1"/>
    <col min="9" max="9" width="2.81640625" style="43" bestFit="1" customWidth="1"/>
    <col min="10" max="16384" width="9.1796875" style="43"/>
  </cols>
  <sheetData>
    <row r="4" spans="2:8" x14ac:dyDescent="0.25">
      <c r="B4" s="130" t="s">
        <v>62</v>
      </c>
    </row>
    <row r="5" spans="2:8" ht="13" thickBot="1" x14ac:dyDescent="0.3"/>
    <row r="6" spans="2:8" ht="13.5" thickTop="1" thickBot="1" x14ac:dyDescent="0.3">
      <c r="B6" s="130" t="s">
        <v>47</v>
      </c>
      <c r="C6" s="131" t="s">
        <v>35</v>
      </c>
      <c r="D6" s="132" t="s">
        <v>113</v>
      </c>
      <c r="E6" s="133" t="s">
        <v>36</v>
      </c>
      <c r="F6" s="134" t="s">
        <v>37</v>
      </c>
      <c r="G6" s="134" t="s">
        <v>38</v>
      </c>
      <c r="H6" s="135" t="s">
        <v>39</v>
      </c>
    </row>
    <row r="7" spans="2:8" ht="13" thickTop="1" x14ac:dyDescent="0.25">
      <c r="C7" s="136"/>
      <c r="D7" s="137"/>
      <c r="E7" s="138"/>
      <c r="F7" s="139"/>
      <c r="G7" s="139"/>
      <c r="H7" s="140"/>
    </row>
    <row r="8" spans="2:8" x14ac:dyDescent="0.25">
      <c r="C8" s="141" t="s">
        <v>114</v>
      </c>
      <c r="D8" s="142" t="s">
        <v>123</v>
      </c>
      <c r="E8" s="142" t="s">
        <v>111</v>
      </c>
      <c r="F8" s="143" t="s">
        <v>112</v>
      </c>
      <c r="G8" s="142" t="s">
        <v>164</v>
      </c>
      <c r="H8" s="142" t="s">
        <v>165</v>
      </c>
    </row>
    <row r="9" spans="2:8" x14ac:dyDescent="0.25">
      <c r="C9" s="141" t="s">
        <v>114</v>
      </c>
      <c r="D9" s="142" t="s">
        <v>126</v>
      </c>
      <c r="E9" s="142" t="s">
        <v>111</v>
      </c>
      <c r="F9" s="143" t="s">
        <v>112</v>
      </c>
      <c r="G9" s="142" t="s">
        <v>164</v>
      </c>
      <c r="H9" s="142" t="s">
        <v>165</v>
      </c>
    </row>
    <row r="10" spans="2:8" ht="11.25" customHeight="1" x14ac:dyDescent="0.25">
      <c r="C10" s="141" t="s">
        <v>114</v>
      </c>
      <c r="D10" s="142" t="s">
        <v>129</v>
      </c>
      <c r="E10" s="142" t="s">
        <v>111</v>
      </c>
      <c r="F10" s="143" t="s">
        <v>112</v>
      </c>
      <c r="G10" s="142" t="s">
        <v>164</v>
      </c>
      <c r="H10" s="142" t="s">
        <v>165</v>
      </c>
    </row>
    <row r="11" spans="2:8" x14ac:dyDescent="0.25">
      <c r="C11" s="141" t="s">
        <v>114</v>
      </c>
      <c r="D11" s="142" t="s">
        <v>134</v>
      </c>
      <c r="E11" s="142" t="s">
        <v>111</v>
      </c>
      <c r="F11" s="143" t="s">
        <v>112</v>
      </c>
      <c r="G11" s="142" t="s">
        <v>164</v>
      </c>
      <c r="H11" s="142" t="s">
        <v>165</v>
      </c>
    </row>
    <row r="12" spans="2:8" x14ac:dyDescent="0.25">
      <c r="C12" s="141" t="s">
        <v>114</v>
      </c>
      <c r="D12" s="142" t="s">
        <v>115</v>
      </c>
      <c r="E12" s="142" t="s">
        <v>111</v>
      </c>
      <c r="F12" s="143" t="s">
        <v>112</v>
      </c>
      <c r="G12" s="142" t="s">
        <v>164</v>
      </c>
      <c r="H12" s="142" t="s">
        <v>165</v>
      </c>
    </row>
    <row r="13" spans="2:8" x14ac:dyDescent="0.25">
      <c r="C13" s="141" t="s">
        <v>114</v>
      </c>
      <c r="D13" s="142" t="s">
        <v>115</v>
      </c>
      <c r="E13" s="142" t="s">
        <v>111</v>
      </c>
      <c r="F13" s="143" t="s">
        <v>112</v>
      </c>
      <c r="G13" s="142" t="s">
        <v>164</v>
      </c>
      <c r="H13" s="142" t="s">
        <v>165</v>
      </c>
    </row>
    <row r="14" spans="2:8" x14ac:dyDescent="0.25">
      <c r="C14" s="141" t="s">
        <v>114</v>
      </c>
      <c r="D14" s="142" t="s">
        <v>115</v>
      </c>
      <c r="E14" s="142" t="s">
        <v>111</v>
      </c>
      <c r="F14" s="143" t="s">
        <v>112</v>
      </c>
      <c r="G14" s="142" t="s">
        <v>164</v>
      </c>
      <c r="H14" s="142" t="s">
        <v>165</v>
      </c>
    </row>
    <row r="15" spans="2:8" x14ac:dyDescent="0.25">
      <c r="C15" s="147"/>
      <c r="D15" s="150"/>
      <c r="E15" s="144"/>
      <c r="F15" s="144"/>
      <c r="G15" s="150"/>
      <c r="H15" s="146"/>
    </row>
    <row r="16" spans="2:8" x14ac:dyDescent="0.25">
      <c r="C16" s="147"/>
      <c r="D16" s="148"/>
      <c r="E16" s="151"/>
      <c r="F16" s="149"/>
      <c r="G16" s="150"/>
      <c r="H16" s="152"/>
    </row>
    <row r="17" spans="3:8" x14ac:dyDescent="0.25">
      <c r="C17" s="198"/>
      <c r="D17" s="153"/>
      <c r="E17" s="153"/>
      <c r="F17" s="153"/>
      <c r="G17" s="153"/>
      <c r="H17" s="152"/>
    </row>
    <row r="18" spans="3:8" x14ac:dyDescent="0.25">
      <c r="C18" s="147"/>
      <c r="D18" s="148"/>
      <c r="E18" s="151"/>
      <c r="F18" s="145"/>
      <c r="G18" s="153"/>
      <c r="H18" s="152"/>
    </row>
    <row r="19" spans="3:8" x14ac:dyDescent="0.25">
      <c r="C19" s="147"/>
      <c r="D19" s="148"/>
      <c r="E19" s="151"/>
      <c r="F19" s="145"/>
      <c r="G19" s="154"/>
      <c r="H19" s="152"/>
    </row>
    <row r="20" spans="3:8" x14ac:dyDescent="0.25">
      <c r="C20" s="147"/>
      <c r="D20" s="148"/>
      <c r="E20" s="151"/>
      <c r="F20" s="145"/>
      <c r="G20" s="153"/>
      <c r="H20" s="152"/>
    </row>
    <row r="21" spans="3:8" x14ac:dyDescent="0.25">
      <c r="C21" s="155"/>
      <c r="D21" s="156"/>
      <c r="E21" s="151"/>
      <c r="F21" s="145"/>
      <c r="G21" s="150"/>
      <c r="H21" s="152"/>
    </row>
    <row r="22" spans="3:8" x14ac:dyDescent="0.25">
      <c r="C22" s="147"/>
      <c r="D22" s="148"/>
      <c r="E22" s="151"/>
      <c r="F22" s="149"/>
      <c r="G22" s="150"/>
      <c r="H22" s="157"/>
    </row>
    <row r="23" spans="3:8" x14ac:dyDescent="0.25">
      <c r="C23" s="147"/>
      <c r="D23" s="148"/>
      <c r="E23" s="151"/>
      <c r="F23" s="149"/>
      <c r="G23" s="153"/>
      <c r="H23" s="157"/>
    </row>
    <row r="24" spans="3:8" x14ac:dyDescent="0.25">
      <c r="C24" s="158"/>
      <c r="D24" s="159"/>
      <c r="E24" s="160"/>
      <c r="F24" s="161"/>
      <c r="G24" s="162"/>
      <c r="H24" s="163"/>
    </row>
    <row r="25" spans="3:8" ht="13" thickBot="1" x14ac:dyDescent="0.3">
      <c r="C25" s="164"/>
      <c r="D25" s="165"/>
      <c r="E25" s="165"/>
      <c r="F25" s="166"/>
      <c r="G25" s="167"/>
      <c r="H25" s="168"/>
    </row>
    <row r="26" spans="3:8" ht="13" thickTop="1" x14ac:dyDescent="0.25"/>
    <row r="41" spans="7:9" x14ac:dyDescent="0.25">
      <c r="G41" s="130"/>
      <c r="I41" s="169"/>
    </row>
    <row r="43" spans="7:9" x14ac:dyDescent="0.25">
      <c r="G43" s="130"/>
      <c r="H43" s="169"/>
      <c r="I43" s="169"/>
    </row>
    <row r="51" spans="4:4" x14ac:dyDescent="0.25">
      <c r="D51" s="6"/>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Z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E8" sqref="E8"/>
    </sheetView>
  </sheetViews>
  <sheetFormatPr defaultColWidth="9.1796875" defaultRowHeight="12.5" x14ac:dyDescent="0.25"/>
  <cols>
    <col min="1" max="1" width="2.26953125" style="43" customWidth="1"/>
    <col min="2" max="2" width="23.453125" style="44" customWidth="1"/>
    <col min="3" max="4" width="6.54296875" style="44" bestFit="1" customWidth="1"/>
    <col min="5" max="5" width="24.54296875" style="43" customWidth="1"/>
    <col min="6" max="6" width="13.7265625" style="43" customWidth="1"/>
    <col min="7" max="7" width="12.7265625" style="43" bestFit="1" customWidth="1"/>
    <col min="8" max="8" width="1.81640625" style="43" customWidth="1"/>
    <col min="9" max="9" width="6.81640625" style="43" bestFit="1" customWidth="1"/>
    <col min="10" max="10" width="3.1796875" style="43" customWidth="1"/>
    <col min="11" max="15" width="3.7265625" style="43" customWidth="1"/>
    <col min="16" max="16" width="6.81640625" style="43" bestFit="1" customWidth="1"/>
    <col min="17" max="22" width="3.7265625" style="43" customWidth="1"/>
    <col min="23" max="23" width="7.1796875" style="43" bestFit="1" customWidth="1"/>
    <col min="24" max="29" width="3.7265625" style="43" customWidth="1"/>
    <col min="30" max="30" width="7" style="43" bestFit="1" customWidth="1"/>
    <col min="31" max="36" width="3.7265625" style="43" customWidth="1"/>
    <col min="37" max="37" width="4" style="43" customWidth="1"/>
    <col min="38" max="42" width="3" style="43" customWidth="1"/>
    <col min="43" max="52" width="9.1796875" style="43"/>
    <col min="53" max="16384" width="9.1796875" style="6"/>
  </cols>
  <sheetData>
    <row r="1" spans="2:42" ht="13" thickBot="1" x14ac:dyDescent="0.3"/>
    <row r="2" spans="2:42" x14ac:dyDescent="0.25">
      <c r="B2" s="45" t="s">
        <v>50</v>
      </c>
      <c r="C2" s="46"/>
      <c r="D2" s="47" t="str">
        <f ca="1">TEXT(E2,"ddd")</f>
        <v>周三</v>
      </c>
      <c r="E2" s="48">
        <f ca="1">TODAY()</f>
        <v>42515</v>
      </c>
    </row>
    <row r="3" spans="2:42" ht="13" thickBot="1" x14ac:dyDescent="0.3">
      <c r="B3" s="49" t="s">
        <v>49</v>
      </c>
      <c r="C3" s="50"/>
      <c r="D3" s="51" t="str">
        <f>TEXT(E3,"ddd")</f>
        <v>Mon</v>
      </c>
      <c r="E3" s="52">
        <v>39314</v>
      </c>
    </row>
    <row r="4" spans="2:42" ht="13" thickBot="1" x14ac:dyDescent="0.3">
      <c r="D4" s="43"/>
      <c r="E4" s="53"/>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row>
    <row r="5" spans="2:42" ht="15.5" thickBot="1" x14ac:dyDescent="0.35">
      <c r="B5" s="205" t="s">
        <v>53</v>
      </c>
      <c r="C5" s="206"/>
      <c r="D5" s="206"/>
      <c r="E5" s="206"/>
      <c r="F5" s="206"/>
      <c r="G5" s="207"/>
      <c r="I5" s="55"/>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8"/>
      <c r="AL5" s="57"/>
      <c r="AM5" s="57"/>
      <c r="AN5" s="57"/>
      <c r="AO5" s="57"/>
      <c r="AP5" s="59"/>
    </row>
    <row r="6" spans="2:42" ht="13" thickBot="1" x14ac:dyDescent="0.3">
      <c r="B6" s="60" t="s">
        <v>60</v>
      </c>
      <c r="C6" s="61">
        <v>4</v>
      </c>
      <c r="D6" s="62"/>
      <c r="E6" s="63" t="s">
        <v>61</v>
      </c>
      <c r="F6" s="64">
        <v>30</v>
      </c>
      <c r="G6" s="65"/>
      <c r="I6" s="66">
        <f>IF(D3="Mon",E3-0,IF(D3="Tue",E3-1,IF(D3="Wed",E3-2,IF(D3="Thu",E3-3,IF(D3="Fri",E3-4,IF(D3="Sat",E3-5,IF(D3="Sun",E3-6,"False")))))))</f>
        <v>39314</v>
      </c>
      <c r="J6" s="67">
        <f t="shared" ref="J6:O6" si="0">I6+1</f>
        <v>39315</v>
      </c>
      <c r="K6" s="67">
        <f t="shared" si="0"/>
        <v>39316</v>
      </c>
      <c r="L6" s="67">
        <f t="shared" si="0"/>
        <v>39317</v>
      </c>
      <c r="M6" s="67">
        <f t="shared" si="0"/>
        <v>39318</v>
      </c>
      <c r="N6" s="68">
        <f t="shared" si="0"/>
        <v>39319</v>
      </c>
      <c r="O6" s="68">
        <f t="shared" si="0"/>
        <v>39320</v>
      </c>
      <c r="P6" s="69">
        <f>I6+7</f>
        <v>39321</v>
      </c>
      <c r="Q6" s="67">
        <f t="shared" ref="Q6:V6" si="1">P6+1</f>
        <v>39322</v>
      </c>
      <c r="R6" s="67">
        <f t="shared" si="1"/>
        <v>39323</v>
      </c>
      <c r="S6" s="67">
        <f t="shared" si="1"/>
        <v>39324</v>
      </c>
      <c r="T6" s="67">
        <f t="shared" si="1"/>
        <v>39325</v>
      </c>
      <c r="U6" s="68">
        <f t="shared" si="1"/>
        <v>39326</v>
      </c>
      <c r="V6" s="68">
        <f t="shared" si="1"/>
        <v>39327</v>
      </c>
      <c r="W6" s="69">
        <f>P6+7</f>
        <v>39328</v>
      </c>
      <c r="X6" s="67">
        <f t="shared" ref="X6:AC6" si="2">W6+1</f>
        <v>39329</v>
      </c>
      <c r="Y6" s="67">
        <f t="shared" si="2"/>
        <v>39330</v>
      </c>
      <c r="Z6" s="67">
        <f t="shared" si="2"/>
        <v>39331</v>
      </c>
      <c r="AA6" s="67">
        <f t="shared" si="2"/>
        <v>39332</v>
      </c>
      <c r="AB6" s="68">
        <f t="shared" si="2"/>
        <v>39333</v>
      </c>
      <c r="AC6" s="68">
        <f t="shared" si="2"/>
        <v>39334</v>
      </c>
      <c r="AD6" s="69">
        <f>W6+7</f>
        <v>39335</v>
      </c>
      <c r="AE6" s="67">
        <f t="shared" ref="AE6:AJ6" si="3">AD6+1</f>
        <v>39336</v>
      </c>
      <c r="AF6" s="67">
        <f t="shared" si="3"/>
        <v>39337</v>
      </c>
      <c r="AG6" s="67">
        <f t="shared" si="3"/>
        <v>39338</v>
      </c>
      <c r="AH6" s="67">
        <f t="shared" si="3"/>
        <v>39339</v>
      </c>
      <c r="AI6" s="68">
        <f t="shared" si="3"/>
        <v>39340</v>
      </c>
      <c r="AJ6" s="68">
        <f t="shared" si="3"/>
        <v>39341</v>
      </c>
      <c r="AK6" s="208"/>
      <c r="AL6" s="209"/>
      <c r="AM6" s="209"/>
      <c r="AN6" s="209"/>
      <c r="AO6" s="209"/>
      <c r="AP6" s="210"/>
    </row>
    <row r="7" spans="2:42" ht="29.25" customHeight="1" thickBot="1" x14ac:dyDescent="0.3">
      <c r="B7" s="70"/>
      <c r="C7" s="71"/>
      <c r="D7" s="62"/>
      <c r="E7" s="72" t="s">
        <v>51</v>
      </c>
      <c r="F7" s="72" t="s">
        <v>58</v>
      </c>
      <c r="G7" s="73" t="s">
        <v>52</v>
      </c>
      <c r="I7" s="74" t="s">
        <v>33</v>
      </c>
      <c r="J7" s="75" t="s">
        <v>40</v>
      </c>
      <c r="K7" s="75" t="s">
        <v>41</v>
      </c>
      <c r="L7" s="75" t="s">
        <v>40</v>
      </c>
      <c r="M7" s="75" t="s">
        <v>42</v>
      </c>
      <c r="N7" s="76" t="s">
        <v>34</v>
      </c>
      <c r="O7" s="77" t="s">
        <v>34</v>
      </c>
      <c r="P7" s="74" t="s">
        <v>33</v>
      </c>
      <c r="Q7" s="75" t="s">
        <v>40</v>
      </c>
      <c r="R7" s="75" t="s">
        <v>41</v>
      </c>
      <c r="S7" s="75" t="s">
        <v>40</v>
      </c>
      <c r="T7" s="75" t="s">
        <v>42</v>
      </c>
      <c r="U7" s="76" t="s">
        <v>34</v>
      </c>
      <c r="V7" s="77" t="s">
        <v>34</v>
      </c>
      <c r="W7" s="74" t="s">
        <v>33</v>
      </c>
      <c r="X7" s="75" t="s">
        <v>40</v>
      </c>
      <c r="Y7" s="75" t="s">
        <v>41</v>
      </c>
      <c r="Z7" s="75" t="s">
        <v>40</v>
      </c>
      <c r="AA7" s="75" t="s">
        <v>42</v>
      </c>
      <c r="AB7" s="76" t="s">
        <v>34</v>
      </c>
      <c r="AC7" s="77" t="s">
        <v>34</v>
      </c>
      <c r="AD7" s="74" t="s">
        <v>33</v>
      </c>
      <c r="AE7" s="75" t="s">
        <v>40</v>
      </c>
      <c r="AF7" s="75" t="s">
        <v>41</v>
      </c>
      <c r="AG7" s="75" t="s">
        <v>40</v>
      </c>
      <c r="AH7" s="75" t="s">
        <v>42</v>
      </c>
      <c r="AI7" s="76" t="s">
        <v>34</v>
      </c>
      <c r="AJ7" s="77" t="s">
        <v>34</v>
      </c>
      <c r="AK7" s="214" t="s">
        <v>48</v>
      </c>
      <c r="AL7" s="215"/>
      <c r="AM7" s="215"/>
      <c r="AN7" s="215"/>
      <c r="AO7" s="215"/>
      <c r="AP7" s="216"/>
    </row>
    <row r="8" spans="2:42" ht="13" thickBot="1" x14ac:dyDescent="0.3">
      <c r="B8" s="78" t="s">
        <v>43</v>
      </c>
      <c r="C8" s="79">
        <f>SUM(G8:G25)</f>
        <v>0</v>
      </c>
      <c r="D8" s="80"/>
      <c r="E8" s="81"/>
      <c r="F8" s="82">
        <v>1</v>
      </c>
      <c r="G8" s="83">
        <f>SUMIF(Sprint!$F$4:$F$1852,E8,Sprint!$CT$4:$CT$1852)</f>
        <v>0</v>
      </c>
      <c r="H8" s="84"/>
      <c r="I8" s="90">
        <f t="shared" ref="I8:J20" si="4">IF(I$6&lt;$E$3,0,IF(ISBLANK($E8),0,IF(I$6&lt;$E$2,0,1)))</f>
        <v>0</v>
      </c>
      <c r="J8" s="91">
        <f t="shared" si="4"/>
        <v>0</v>
      </c>
      <c r="K8" s="91">
        <f t="shared" ref="K8:M23" si="5">IF(K$6&lt;$E$3,0,IF(ISBLANK($E8),0,IF(K$6&lt;$E$2,0,1)))</f>
        <v>0</v>
      </c>
      <c r="L8" s="91">
        <f t="shared" si="5"/>
        <v>0</v>
      </c>
      <c r="M8" s="91">
        <f t="shared" si="5"/>
        <v>0</v>
      </c>
      <c r="N8" s="85"/>
      <c r="O8" s="86"/>
      <c r="P8" s="90">
        <f t="shared" ref="P8:T20" si="6">IF(P$6&lt;$E$3,0,IF(ISBLANK($E8),0,IF(P$6&lt;$E$2,0,1)))</f>
        <v>0</v>
      </c>
      <c r="Q8" s="91">
        <f t="shared" si="6"/>
        <v>0</v>
      </c>
      <c r="R8" s="91">
        <f t="shared" si="6"/>
        <v>0</v>
      </c>
      <c r="S8" s="91">
        <f t="shared" si="6"/>
        <v>0</v>
      </c>
      <c r="T8" s="91">
        <f t="shared" si="6"/>
        <v>0</v>
      </c>
      <c r="U8" s="85"/>
      <c r="V8" s="86"/>
      <c r="W8" s="90">
        <f t="shared" ref="W8:AA20" si="7">IF(W$6&lt;$E$3,0,IF(ISBLANK($E8),0,IF(W$6&lt;$E$2,0,1)))</f>
        <v>0</v>
      </c>
      <c r="X8" s="91">
        <f t="shared" si="7"/>
        <v>0</v>
      </c>
      <c r="Y8" s="91">
        <f t="shared" si="7"/>
        <v>0</v>
      </c>
      <c r="Z8" s="91">
        <f t="shared" si="7"/>
        <v>0</v>
      </c>
      <c r="AA8" s="91">
        <f t="shared" si="7"/>
        <v>0</v>
      </c>
      <c r="AB8" s="85"/>
      <c r="AC8" s="86"/>
      <c r="AD8" s="90">
        <f t="shared" ref="AD8:AH20" si="8">IF(AD$6&lt;$E$3,0,IF(ISBLANK($E8),0,IF(AD$6&lt;$E$2,0,1)))</f>
        <v>0</v>
      </c>
      <c r="AE8" s="91">
        <f t="shared" si="8"/>
        <v>0</v>
      </c>
      <c r="AF8" s="91">
        <f t="shared" si="8"/>
        <v>0</v>
      </c>
      <c r="AG8" s="91">
        <f t="shared" si="8"/>
        <v>0</v>
      </c>
      <c r="AH8" s="91">
        <f t="shared" si="8"/>
        <v>0</v>
      </c>
      <c r="AI8" s="85"/>
      <c r="AJ8" s="86"/>
      <c r="AK8" s="211">
        <f t="shared" ref="AK8:AK25" si="9">IF(E8="unassigned",0,(COUNTIF(I8:AJ8,1)*$C$6)*F8)</f>
        <v>0</v>
      </c>
      <c r="AL8" s="212"/>
      <c r="AM8" s="212"/>
      <c r="AN8" s="212"/>
      <c r="AO8" s="212"/>
      <c r="AP8" s="213"/>
    </row>
    <row r="9" spans="2:42" ht="13" thickBot="1" x14ac:dyDescent="0.3">
      <c r="B9" s="87" t="s">
        <v>44</v>
      </c>
      <c r="C9" s="79">
        <f>SUM(AK8:AP25)</f>
        <v>0</v>
      </c>
      <c r="D9" s="88"/>
      <c r="E9" s="18"/>
      <c r="F9" s="89">
        <v>1</v>
      </c>
      <c r="G9" s="83">
        <f>SUMIF(Sprint!$F$4:$F$1852,E9,Sprint!$CT$4:$CT$1852)</f>
        <v>0</v>
      </c>
      <c r="H9" s="84"/>
      <c r="I9" s="90">
        <f t="shared" si="4"/>
        <v>0</v>
      </c>
      <c r="J9" s="91">
        <f t="shared" si="4"/>
        <v>0</v>
      </c>
      <c r="K9" s="91">
        <f t="shared" si="5"/>
        <v>0</v>
      </c>
      <c r="L9" s="91">
        <f t="shared" si="5"/>
        <v>0</v>
      </c>
      <c r="M9" s="91">
        <f t="shared" si="5"/>
        <v>0</v>
      </c>
      <c r="N9" s="92"/>
      <c r="O9" s="93"/>
      <c r="P9" s="90">
        <f t="shared" si="6"/>
        <v>0</v>
      </c>
      <c r="Q9" s="91">
        <f t="shared" si="6"/>
        <v>0</v>
      </c>
      <c r="R9" s="91">
        <f t="shared" si="6"/>
        <v>0</v>
      </c>
      <c r="S9" s="91">
        <f t="shared" si="6"/>
        <v>0</v>
      </c>
      <c r="T9" s="91">
        <f t="shared" si="6"/>
        <v>0</v>
      </c>
      <c r="U9" s="92"/>
      <c r="V9" s="93"/>
      <c r="W9" s="90">
        <f t="shared" si="7"/>
        <v>0</v>
      </c>
      <c r="X9" s="91">
        <f t="shared" si="7"/>
        <v>0</v>
      </c>
      <c r="Y9" s="91">
        <f t="shared" si="7"/>
        <v>0</v>
      </c>
      <c r="Z9" s="91">
        <f t="shared" si="7"/>
        <v>0</v>
      </c>
      <c r="AA9" s="91">
        <f t="shared" si="7"/>
        <v>0</v>
      </c>
      <c r="AB9" s="92"/>
      <c r="AC9" s="93"/>
      <c r="AD9" s="90">
        <f t="shared" si="8"/>
        <v>0</v>
      </c>
      <c r="AE9" s="91">
        <f t="shared" si="8"/>
        <v>0</v>
      </c>
      <c r="AF9" s="91">
        <f t="shared" si="8"/>
        <v>0</v>
      </c>
      <c r="AG9" s="91">
        <f t="shared" si="8"/>
        <v>0</v>
      </c>
      <c r="AH9" s="91">
        <f t="shared" si="8"/>
        <v>0</v>
      </c>
      <c r="AI9" s="92"/>
      <c r="AJ9" s="93"/>
      <c r="AK9" s="211">
        <f t="shared" si="9"/>
        <v>0</v>
      </c>
      <c r="AL9" s="212"/>
      <c r="AM9" s="212"/>
      <c r="AN9" s="212"/>
      <c r="AO9" s="212"/>
      <c r="AP9" s="213"/>
    </row>
    <row r="10" spans="2:42" ht="13" thickBot="1" x14ac:dyDescent="0.3">
      <c r="B10" s="94" t="s">
        <v>45</v>
      </c>
      <c r="C10" s="95">
        <f>C8-C9</f>
        <v>0</v>
      </c>
      <c r="D10" s="62"/>
      <c r="E10" s="18"/>
      <c r="F10" s="89">
        <v>1</v>
      </c>
      <c r="G10" s="83">
        <f>SUMIF(Sprint!$F$4:$F$1852,E10,Sprint!$CT$4:$CT$1852)</f>
        <v>0</v>
      </c>
      <c r="H10" s="84"/>
      <c r="I10" s="90">
        <f t="shared" si="4"/>
        <v>0</v>
      </c>
      <c r="J10" s="91">
        <f t="shared" si="4"/>
        <v>0</v>
      </c>
      <c r="K10" s="91">
        <f t="shared" si="5"/>
        <v>0</v>
      </c>
      <c r="L10" s="91">
        <f t="shared" si="5"/>
        <v>0</v>
      </c>
      <c r="M10" s="91">
        <f t="shared" si="5"/>
        <v>0</v>
      </c>
      <c r="N10" s="92"/>
      <c r="O10" s="93"/>
      <c r="P10" s="90">
        <f t="shared" si="6"/>
        <v>0</v>
      </c>
      <c r="Q10" s="91">
        <f t="shared" si="6"/>
        <v>0</v>
      </c>
      <c r="R10" s="91">
        <f t="shared" si="6"/>
        <v>0</v>
      </c>
      <c r="S10" s="91">
        <f t="shared" si="6"/>
        <v>0</v>
      </c>
      <c r="T10" s="91">
        <f t="shared" si="6"/>
        <v>0</v>
      </c>
      <c r="U10" s="92"/>
      <c r="V10" s="93"/>
      <c r="W10" s="90">
        <f t="shared" si="7"/>
        <v>0</v>
      </c>
      <c r="X10" s="91">
        <f t="shared" si="7"/>
        <v>0</v>
      </c>
      <c r="Y10" s="91">
        <f t="shared" si="7"/>
        <v>0</v>
      </c>
      <c r="Z10" s="91">
        <f t="shared" si="7"/>
        <v>0</v>
      </c>
      <c r="AA10" s="91">
        <f t="shared" si="7"/>
        <v>0</v>
      </c>
      <c r="AB10" s="92"/>
      <c r="AC10" s="93"/>
      <c r="AD10" s="90">
        <f t="shared" si="8"/>
        <v>0</v>
      </c>
      <c r="AE10" s="91">
        <f t="shared" si="8"/>
        <v>0</v>
      </c>
      <c r="AF10" s="91">
        <f t="shared" si="8"/>
        <v>0</v>
      </c>
      <c r="AG10" s="91">
        <f t="shared" si="8"/>
        <v>0</v>
      </c>
      <c r="AH10" s="91">
        <f t="shared" si="8"/>
        <v>0</v>
      </c>
      <c r="AI10" s="92"/>
      <c r="AJ10" s="93"/>
      <c r="AK10" s="211">
        <f t="shared" si="9"/>
        <v>0</v>
      </c>
      <c r="AL10" s="212"/>
      <c r="AM10" s="212"/>
      <c r="AN10" s="212"/>
      <c r="AO10" s="212"/>
      <c r="AP10" s="213"/>
    </row>
    <row r="11" spans="2:42" ht="13" thickBot="1" x14ac:dyDescent="0.3">
      <c r="B11" s="96"/>
      <c r="D11" s="97"/>
      <c r="E11" s="18"/>
      <c r="F11" s="89">
        <v>1</v>
      </c>
      <c r="G11" s="83">
        <f>SUMIF(Sprint!$F$4:$F$1852,E11,Sprint!$CT$4:$CT$1852)</f>
        <v>0</v>
      </c>
      <c r="H11" s="84"/>
      <c r="I11" s="90">
        <f t="shared" si="4"/>
        <v>0</v>
      </c>
      <c r="J11" s="91">
        <f t="shared" si="4"/>
        <v>0</v>
      </c>
      <c r="K11" s="91">
        <f t="shared" si="5"/>
        <v>0</v>
      </c>
      <c r="L11" s="91">
        <f t="shared" si="5"/>
        <v>0</v>
      </c>
      <c r="M11" s="91">
        <f t="shared" si="5"/>
        <v>0</v>
      </c>
      <c r="N11" s="92"/>
      <c r="O11" s="93"/>
      <c r="P11" s="90">
        <f t="shared" si="6"/>
        <v>0</v>
      </c>
      <c r="Q11" s="91">
        <f t="shared" si="6"/>
        <v>0</v>
      </c>
      <c r="R11" s="91">
        <f t="shared" si="6"/>
        <v>0</v>
      </c>
      <c r="S11" s="91">
        <f t="shared" si="6"/>
        <v>0</v>
      </c>
      <c r="T11" s="91">
        <f t="shared" si="6"/>
        <v>0</v>
      </c>
      <c r="U11" s="92"/>
      <c r="V11" s="93"/>
      <c r="W11" s="90">
        <f t="shared" si="7"/>
        <v>0</v>
      </c>
      <c r="X11" s="91">
        <f t="shared" si="7"/>
        <v>0</v>
      </c>
      <c r="Y11" s="91">
        <f t="shared" si="7"/>
        <v>0</v>
      </c>
      <c r="Z11" s="91">
        <f t="shared" si="7"/>
        <v>0</v>
      </c>
      <c r="AA11" s="91">
        <f t="shared" si="7"/>
        <v>0</v>
      </c>
      <c r="AB11" s="92"/>
      <c r="AC11" s="93"/>
      <c r="AD11" s="90">
        <f t="shared" si="8"/>
        <v>0</v>
      </c>
      <c r="AE11" s="91">
        <f t="shared" si="8"/>
        <v>0</v>
      </c>
      <c r="AF11" s="91">
        <f t="shared" si="8"/>
        <v>0</v>
      </c>
      <c r="AG11" s="91">
        <f t="shared" si="8"/>
        <v>0</v>
      </c>
      <c r="AH11" s="91">
        <f t="shared" si="8"/>
        <v>0</v>
      </c>
      <c r="AI11" s="92"/>
      <c r="AJ11" s="93"/>
      <c r="AK11" s="211">
        <f t="shared" si="9"/>
        <v>0</v>
      </c>
      <c r="AL11" s="212"/>
      <c r="AM11" s="212"/>
      <c r="AN11" s="212"/>
      <c r="AO11" s="212"/>
      <c r="AP11" s="213"/>
    </row>
    <row r="12" spans="2:42" ht="13" thickBot="1" x14ac:dyDescent="0.3">
      <c r="B12" s="96"/>
      <c r="D12" s="97"/>
      <c r="E12" s="18"/>
      <c r="F12" s="89">
        <v>1</v>
      </c>
      <c r="G12" s="83">
        <f>SUMIF(Sprint!$F$4:$F$1852,E12,Sprint!$CT$4:$CT$1852)</f>
        <v>0</v>
      </c>
      <c r="H12" s="84"/>
      <c r="I12" s="90">
        <f t="shared" si="4"/>
        <v>0</v>
      </c>
      <c r="J12" s="91">
        <f t="shared" si="4"/>
        <v>0</v>
      </c>
      <c r="K12" s="91">
        <f t="shared" si="5"/>
        <v>0</v>
      </c>
      <c r="L12" s="91">
        <f t="shared" si="5"/>
        <v>0</v>
      </c>
      <c r="M12" s="91">
        <f t="shared" si="5"/>
        <v>0</v>
      </c>
      <c r="N12" s="92"/>
      <c r="O12" s="93"/>
      <c r="P12" s="90">
        <f t="shared" si="6"/>
        <v>0</v>
      </c>
      <c r="Q12" s="91">
        <f t="shared" si="6"/>
        <v>0</v>
      </c>
      <c r="R12" s="91">
        <f t="shared" si="6"/>
        <v>0</v>
      </c>
      <c r="S12" s="91">
        <f t="shared" si="6"/>
        <v>0</v>
      </c>
      <c r="T12" s="91">
        <f t="shared" si="6"/>
        <v>0</v>
      </c>
      <c r="U12" s="92"/>
      <c r="V12" s="93"/>
      <c r="W12" s="90">
        <f t="shared" si="7"/>
        <v>0</v>
      </c>
      <c r="X12" s="91">
        <f t="shared" si="7"/>
        <v>0</v>
      </c>
      <c r="Y12" s="91">
        <f t="shared" si="7"/>
        <v>0</v>
      </c>
      <c r="Z12" s="91">
        <f t="shared" si="7"/>
        <v>0</v>
      </c>
      <c r="AA12" s="91">
        <f t="shared" si="7"/>
        <v>0</v>
      </c>
      <c r="AB12" s="92"/>
      <c r="AC12" s="93"/>
      <c r="AD12" s="90">
        <f t="shared" si="8"/>
        <v>0</v>
      </c>
      <c r="AE12" s="91">
        <f t="shared" si="8"/>
        <v>0</v>
      </c>
      <c r="AF12" s="91">
        <f t="shared" si="8"/>
        <v>0</v>
      </c>
      <c r="AG12" s="91">
        <f t="shared" si="8"/>
        <v>0</v>
      </c>
      <c r="AH12" s="91">
        <f t="shared" si="8"/>
        <v>0</v>
      </c>
      <c r="AI12" s="92"/>
      <c r="AJ12" s="93"/>
      <c r="AK12" s="211">
        <f t="shared" si="9"/>
        <v>0</v>
      </c>
      <c r="AL12" s="212"/>
      <c r="AM12" s="212"/>
      <c r="AN12" s="212"/>
      <c r="AO12" s="212"/>
      <c r="AP12" s="213"/>
    </row>
    <row r="13" spans="2:42" ht="13" thickBot="1" x14ac:dyDescent="0.3">
      <c r="B13" s="96"/>
      <c r="D13" s="98"/>
      <c r="E13" s="18"/>
      <c r="F13" s="89">
        <v>1</v>
      </c>
      <c r="G13" s="83">
        <f>SUMIF(Sprint!$F$4:$F$1852,E13,Sprint!$CT$4:$CT$1852)</f>
        <v>0</v>
      </c>
      <c r="H13" s="84"/>
      <c r="I13" s="90">
        <f t="shared" si="4"/>
        <v>0</v>
      </c>
      <c r="J13" s="91">
        <f t="shared" si="4"/>
        <v>0</v>
      </c>
      <c r="K13" s="91">
        <f t="shared" si="5"/>
        <v>0</v>
      </c>
      <c r="L13" s="91">
        <f t="shared" si="5"/>
        <v>0</v>
      </c>
      <c r="M13" s="91">
        <f t="shared" si="5"/>
        <v>0</v>
      </c>
      <c r="N13" s="92"/>
      <c r="O13" s="93"/>
      <c r="P13" s="90">
        <f t="shared" si="6"/>
        <v>0</v>
      </c>
      <c r="Q13" s="91">
        <f t="shared" si="6"/>
        <v>0</v>
      </c>
      <c r="R13" s="91">
        <f t="shared" si="6"/>
        <v>0</v>
      </c>
      <c r="S13" s="91">
        <f t="shared" si="6"/>
        <v>0</v>
      </c>
      <c r="T13" s="91">
        <f t="shared" si="6"/>
        <v>0</v>
      </c>
      <c r="U13" s="92"/>
      <c r="V13" s="93"/>
      <c r="W13" s="90">
        <f t="shared" si="7"/>
        <v>0</v>
      </c>
      <c r="X13" s="91">
        <f t="shared" si="7"/>
        <v>0</v>
      </c>
      <c r="Y13" s="91">
        <f t="shared" si="7"/>
        <v>0</v>
      </c>
      <c r="Z13" s="91">
        <f t="shared" si="7"/>
        <v>0</v>
      </c>
      <c r="AA13" s="91">
        <f t="shared" si="7"/>
        <v>0</v>
      </c>
      <c r="AB13" s="92"/>
      <c r="AC13" s="93"/>
      <c r="AD13" s="90">
        <f t="shared" si="8"/>
        <v>0</v>
      </c>
      <c r="AE13" s="91">
        <f t="shared" si="8"/>
        <v>0</v>
      </c>
      <c r="AF13" s="91">
        <f t="shared" si="8"/>
        <v>0</v>
      </c>
      <c r="AG13" s="91">
        <f t="shared" si="8"/>
        <v>0</v>
      </c>
      <c r="AH13" s="91">
        <f t="shared" si="8"/>
        <v>0</v>
      </c>
      <c r="AI13" s="92"/>
      <c r="AJ13" s="93"/>
      <c r="AK13" s="211">
        <f t="shared" si="9"/>
        <v>0</v>
      </c>
      <c r="AL13" s="212"/>
      <c r="AM13" s="212"/>
      <c r="AN13" s="212"/>
      <c r="AO13" s="212"/>
      <c r="AP13" s="213"/>
    </row>
    <row r="14" spans="2:42" ht="13" thickBot="1" x14ac:dyDescent="0.3">
      <c r="B14" s="96"/>
      <c r="D14" s="62"/>
      <c r="E14" s="18"/>
      <c r="F14" s="89">
        <v>1</v>
      </c>
      <c r="G14" s="83">
        <f>SUMIF(Sprint!$F$4:$F$1852,E14,Sprint!$CT$4:$CT$1852)</f>
        <v>0</v>
      </c>
      <c r="H14" s="84"/>
      <c r="I14" s="90">
        <f t="shared" si="4"/>
        <v>0</v>
      </c>
      <c r="J14" s="91">
        <f t="shared" si="4"/>
        <v>0</v>
      </c>
      <c r="K14" s="91">
        <f t="shared" si="5"/>
        <v>0</v>
      </c>
      <c r="L14" s="91">
        <f t="shared" si="5"/>
        <v>0</v>
      </c>
      <c r="M14" s="91">
        <f t="shared" si="5"/>
        <v>0</v>
      </c>
      <c r="N14" s="92"/>
      <c r="O14" s="93"/>
      <c r="P14" s="90">
        <f t="shared" si="6"/>
        <v>0</v>
      </c>
      <c r="Q14" s="91">
        <f t="shared" si="6"/>
        <v>0</v>
      </c>
      <c r="R14" s="91">
        <f t="shared" si="6"/>
        <v>0</v>
      </c>
      <c r="S14" s="91">
        <f t="shared" si="6"/>
        <v>0</v>
      </c>
      <c r="T14" s="91">
        <f t="shared" si="6"/>
        <v>0</v>
      </c>
      <c r="U14" s="92"/>
      <c r="V14" s="93"/>
      <c r="W14" s="90">
        <f t="shared" si="7"/>
        <v>0</v>
      </c>
      <c r="X14" s="91">
        <f t="shared" si="7"/>
        <v>0</v>
      </c>
      <c r="Y14" s="91">
        <f t="shared" si="7"/>
        <v>0</v>
      </c>
      <c r="Z14" s="91">
        <f t="shared" si="7"/>
        <v>0</v>
      </c>
      <c r="AA14" s="91">
        <f t="shared" si="7"/>
        <v>0</v>
      </c>
      <c r="AB14" s="92"/>
      <c r="AC14" s="93"/>
      <c r="AD14" s="90">
        <f t="shared" si="8"/>
        <v>0</v>
      </c>
      <c r="AE14" s="91">
        <f t="shared" si="8"/>
        <v>0</v>
      </c>
      <c r="AF14" s="91">
        <f t="shared" si="8"/>
        <v>0</v>
      </c>
      <c r="AG14" s="91">
        <f t="shared" si="8"/>
        <v>0</v>
      </c>
      <c r="AH14" s="91">
        <f t="shared" si="8"/>
        <v>0</v>
      </c>
      <c r="AI14" s="92"/>
      <c r="AJ14" s="93"/>
      <c r="AK14" s="211">
        <f t="shared" si="9"/>
        <v>0</v>
      </c>
      <c r="AL14" s="212"/>
      <c r="AM14" s="212"/>
      <c r="AN14" s="212"/>
      <c r="AO14" s="212"/>
      <c r="AP14" s="213"/>
    </row>
    <row r="15" spans="2:42" ht="13" thickBot="1" x14ac:dyDescent="0.3">
      <c r="B15" s="96"/>
      <c r="D15" s="62"/>
      <c r="E15" s="18"/>
      <c r="F15" s="89">
        <v>1</v>
      </c>
      <c r="G15" s="83">
        <f>SUMIF(Sprint!$F$4:$F$1852,E15,Sprint!$CT$4:$CT$1852)</f>
        <v>0</v>
      </c>
      <c r="H15" s="84"/>
      <c r="I15" s="90">
        <f t="shared" si="4"/>
        <v>0</v>
      </c>
      <c r="J15" s="91">
        <f t="shared" si="4"/>
        <v>0</v>
      </c>
      <c r="K15" s="91">
        <f t="shared" si="5"/>
        <v>0</v>
      </c>
      <c r="L15" s="91">
        <f t="shared" si="5"/>
        <v>0</v>
      </c>
      <c r="M15" s="91">
        <f t="shared" si="5"/>
        <v>0</v>
      </c>
      <c r="N15" s="92"/>
      <c r="O15" s="93"/>
      <c r="P15" s="90">
        <f t="shared" si="6"/>
        <v>0</v>
      </c>
      <c r="Q15" s="91">
        <f t="shared" si="6"/>
        <v>0</v>
      </c>
      <c r="R15" s="91">
        <f t="shared" si="6"/>
        <v>0</v>
      </c>
      <c r="S15" s="91">
        <f t="shared" si="6"/>
        <v>0</v>
      </c>
      <c r="T15" s="91">
        <f t="shared" si="6"/>
        <v>0</v>
      </c>
      <c r="U15" s="92"/>
      <c r="V15" s="93"/>
      <c r="W15" s="90">
        <f t="shared" si="7"/>
        <v>0</v>
      </c>
      <c r="X15" s="91">
        <f t="shared" si="7"/>
        <v>0</v>
      </c>
      <c r="Y15" s="91">
        <f t="shared" si="7"/>
        <v>0</v>
      </c>
      <c r="Z15" s="91">
        <f t="shared" si="7"/>
        <v>0</v>
      </c>
      <c r="AA15" s="91">
        <f t="shared" si="7"/>
        <v>0</v>
      </c>
      <c r="AB15" s="92"/>
      <c r="AC15" s="93"/>
      <c r="AD15" s="90">
        <f t="shared" si="8"/>
        <v>0</v>
      </c>
      <c r="AE15" s="91">
        <f t="shared" si="8"/>
        <v>0</v>
      </c>
      <c r="AF15" s="91">
        <f t="shared" si="8"/>
        <v>0</v>
      </c>
      <c r="AG15" s="91">
        <f t="shared" si="8"/>
        <v>0</v>
      </c>
      <c r="AH15" s="91">
        <f t="shared" si="8"/>
        <v>0</v>
      </c>
      <c r="AI15" s="92"/>
      <c r="AJ15" s="93"/>
      <c r="AK15" s="211">
        <f t="shared" si="9"/>
        <v>0</v>
      </c>
      <c r="AL15" s="212"/>
      <c r="AM15" s="212"/>
      <c r="AN15" s="212"/>
      <c r="AO15" s="212"/>
      <c r="AP15" s="213"/>
    </row>
    <row r="16" spans="2:42" ht="13" thickBot="1" x14ac:dyDescent="0.3">
      <c r="B16" s="96"/>
      <c r="D16" s="98"/>
      <c r="E16" s="18" t="s">
        <v>54</v>
      </c>
      <c r="F16" s="89">
        <v>1</v>
      </c>
      <c r="G16" s="83">
        <f>SUMIF(Sprint!$F$4:$F$1852,E16,Sprint!$CT$4:$CT$1852)</f>
        <v>0</v>
      </c>
      <c r="H16" s="84"/>
      <c r="I16" s="90">
        <f t="shared" ca="1" si="4"/>
        <v>0</v>
      </c>
      <c r="J16" s="91">
        <f t="shared" ca="1" si="4"/>
        <v>0</v>
      </c>
      <c r="K16" s="91">
        <f t="shared" ca="1" si="5"/>
        <v>0</v>
      </c>
      <c r="L16" s="91">
        <f t="shared" ca="1" si="5"/>
        <v>0</v>
      </c>
      <c r="M16" s="91">
        <f t="shared" ca="1" si="5"/>
        <v>0</v>
      </c>
      <c r="N16" s="92"/>
      <c r="O16" s="93"/>
      <c r="P16" s="90">
        <f t="shared" ca="1" si="6"/>
        <v>0</v>
      </c>
      <c r="Q16" s="91">
        <f t="shared" ca="1" si="6"/>
        <v>0</v>
      </c>
      <c r="R16" s="91">
        <f t="shared" ca="1" si="6"/>
        <v>0</v>
      </c>
      <c r="S16" s="91">
        <f t="shared" ca="1" si="6"/>
        <v>0</v>
      </c>
      <c r="T16" s="91">
        <f t="shared" ca="1" si="6"/>
        <v>0</v>
      </c>
      <c r="U16" s="92"/>
      <c r="V16" s="93"/>
      <c r="W16" s="90">
        <f t="shared" ca="1" si="7"/>
        <v>0</v>
      </c>
      <c r="X16" s="91">
        <f t="shared" ca="1" si="7"/>
        <v>0</v>
      </c>
      <c r="Y16" s="91">
        <f t="shared" ca="1" si="7"/>
        <v>0</v>
      </c>
      <c r="Z16" s="91">
        <f t="shared" ca="1" si="7"/>
        <v>0</v>
      </c>
      <c r="AA16" s="91">
        <f t="shared" ca="1" si="7"/>
        <v>0</v>
      </c>
      <c r="AB16" s="92"/>
      <c r="AC16" s="93"/>
      <c r="AD16" s="90">
        <f t="shared" ca="1" si="8"/>
        <v>0</v>
      </c>
      <c r="AE16" s="91">
        <f t="shared" ca="1" si="8"/>
        <v>0</v>
      </c>
      <c r="AF16" s="91">
        <f t="shared" ca="1" si="8"/>
        <v>0</v>
      </c>
      <c r="AG16" s="91">
        <f t="shared" ca="1" si="8"/>
        <v>0</v>
      </c>
      <c r="AH16" s="91">
        <f t="shared" ca="1" si="8"/>
        <v>0</v>
      </c>
      <c r="AI16" s="92"/>
      <c r="AJ16" s="93"/>
      <c r="AK16" s="211">
        <f t="shared" si="9"/>
        <v>0</v>
      </c>
      <c r="AL16" s="212"/>
      <c r="AM16" s="212"/>
      <c r="AN16" s="212"/>
      <c r="AO16" s="212"/>
      <c r="AP16" s="213"/>
    </row>
    <row r="17" spans="2:42" ht="13" thickBot="1" x14ac:dyDescent="0.3">
      <c r="B17" s="96"/>
      <c r="D17" s="98"/>
      <c r="E17" s="18"/>
      <c r="F17" s="89"/>
      <c r="G17" s="83">
        <f>SUMIF(Sprint!$F$4:$F$1852,E17,Sprint!$CT$4:$CT$1852)</f>
        <v>0</v>
      </c>
      <c r="H17" s="99"/>
      <c r="I17" s="90">
        <f t="shared" si="4"/>
        <v>0</v>
      </c>
      <c r="J17" s="91">
        <f t="shared" si="4"/>
        <v>0</v>
      </c>
      <c r="K17" s="91">
        <f t="shared" si="5"/>
        <v>0</v>
      </c>
      <c r="L17" s="91">
        <f t="shared" si="5"/>
        <v>0</v>
      </c>
      <c r="M17" s="91">
        <f t="shared" si="5"/>
        <v>0</v>
      </c>
      <c r="N17" s="92"/>
      <c r="O17" s="93"/>
      <c r="P17" s="90">
        <f t="shared" si="6"/>
        <v>0</v>
      </c>
      <c r="Q17" s="91">
        <f t="shared" si="6"/>
        <v>0</v>
      </c>
      <c r="R17" s="91">
        <f t="shared" si="6"/>
        <v>0</v>
      </c>
      <c r="S17" s="91">
        <f t="shared" si="6"/>
        <v>0</v>
      </c>
      <c r="T17" s="91">
        <f t="shared" si="6"/>
        <v>0</v>
      </c>
      <c r="U17" s="92"/>
      <c r="V17" s="93"/>
      <c r="W17" s="90">
        <f t="shared" si="7"/>
        <v>0</v>
      </c>
      <c r="X17" s="91">
        <f t="shared" si="7"/>
        <v>0</v>
      </c>
      <c r="Y17" s="91">
        <f t="shared" si="7"/>
        <v>0</v>
      </c>
      <c r="Z17" s="91">
        <f t="shared" si="7"/>
        <v>0</v>
      </c>
      <c r="AA17" s="91">
        <f t="shared" si="7"/>
        <v>0</v>
      </c>
      <c r="AB17" s="92"/>
      <c r="AC17" s="93"/>
      <c r="AD17" s="90">
        <f t="shared" si="8"/>
        <v>0</v>
      </c>
      <c r="AE17" s="91">
        <f t="shared" si="8"/>
        <v>0</v>
      </c>
      <c r="AF17" s="91">
        <f t="shared" si="8"/>
        <v>0</v>
      </c>
      <c r="AG17" s="91">
        <f t="shared" si="8"/>
        <v>0</v>
      </c>
      <c r="AH17" s="91">
        <f t="shared" si="8"/>
        <v>0</v>
      </c>
      <c r="AI17" s="92"/>
      <c r="AJ17" s="93"/>
      <c r="AK17" s="211">
        <f t="shared" si="9"/>
        <v>0</v>
      </c>
      <c r="AL17" s="212"/>
      <c r="AM17" s="212"/>
      <c r="AN17" s="212"/>
      <c r="AO17" s="212"/>
      <c r="AP17" s="213"/>
    </row>
    <row r="18" spans="2:42" ht="13" thickBot="1" x14ac:dyDescent="0.3">
      <c r="B18" s="96"/>
      <c r="D18" s="98"/>
      <c r="E18" s="18"/>
      <c r="F18" s="89"/>
      <c r="G18" s="83">
        <f>SUMIF(Sprint!$F$4:$F$1852,E18,Sprint!$CT$4:$CT$1852)</f>
        <v>0</v>
      </c>
      <c r="H18" s="99"/>
      <c r="I18" s="90">
        <f t="shared" si="4"/>
        <v>0</v>
      </c>
      <c r="J18" s="91">
        <f t="shared" si="4"/>
        <v>0</v>
      </c>
      <c r="K18" s="91">
        <f t="shared" si="5"/>
        <v>0</v>
      </c>
      <c r="L18" s="91">
        <f t="shared" si="5"/>
        <v>0</v>
      </c>
      <c r="M18" s="91">
        <f t="shared" si="5"/>
        <v>0</v>
      </c>
      <c r="N18" s="92"/>
      <c r="O18" s="93"/>
      <c r="P18" s="90">
        <f t="shared" si="6"/>
        <v>0</v>
      </c>
      <c r="Q18" s="91">
        <f t="shared" si="6"/>
        <v>0</v>
      </c>
      <c r="R18" s="91">
        <f t="shared" si="6"/>
        <v>0</v>
      </c>
      <c r="S18" s="91">
        <f t="shared" si="6"/>
        <v>0</v>
      </c>
      <c r="T18" s="91">
        <f t="shared" si="6"/>
        <v>0</v>
      </c>
      <c r="U18" s="92"/>
      <c r="V18" s="93"/>
      <c r="W18" s="90">
        <f t="shared" si="7"/>
        <v>0</v>
      </c>
      <c r="X18" s="91">
        <f t="shared" si="7"/>
        <v>0</v>
      </c>
      <c r="Y18" s="91">
        <f t="shared" si="7"/>
        <v>0</v>
      </c>
      <c r="Z18" s="91">
        <f t="shared" si="7"/>
        <v>0</v>
      </c>
      <c r="AA18" s="91">
        <f t="shared" si="7"/>
        <v>0</v>
      </c>
      <c r="AB18" s="92"/>
      <c r="AC18" s="93"/>
      <c r="AD18" s="90">
        <f t="shared" si="8"/>
        <v>0</v>
      </c>
      <c r="AE18" s="91">
        <f t="shared" si="8"/>
        <v>0</v>
      </c>
      <c r="AF18" s="91">
        <f t="shared" si="8"/>
        <v>0</v>
      </c>
      <c r="AG18" s="91">
        <f t="shared" si="8"/>
        <v>0</v>
      </c>
      <c r="AH18" s="91">
        <f t="shared" si="8"/>
        <v>0</v>
      </c>
      <c r="AI18" s="92"/>
      <c r="AJ18" s="93"/>
      <c r="AK18" s="211">
        <f t="shared" si="9"/>
        <v>0</v>
      </c>
      <c r="AL18" s="212"/>
      <c r="AM18" s="212"/>
      <c r="AN18" s="212"/>
      <c r="AO18" s="212"/>
      <c r="AP18" s="213"/>
    </row>
    <row r="19" spans="2:42" ht="13" thickBot="1" x14ac:dyDescent="0.3">
      <c r="B19" s="96"/>
      <c r="D19" s="98"/>
      <c r="E19" s="18"/>
      <c r="F19" s="89"/>
      <c r="G19" s="83">
        <f>SUMIF(Sprint!$F$4:$F$1852,E19,Sprint!$CT$4:$CT$1852)</f>
        <v>0</v>
      </c>
      <c r="H19" s="99"/>
      <c r="I19" s="90">
        <f t="shared" si="4"/>
        <v>0</v>
      </c>
      <c r="J19" s="91">
        <f t="shared" si="4"/>
        <v>0</v>
      </c>
      <c r="K19" s="91">
        <f t="shared" si="5"/>
        <v>0</v>
      </c>
      <c r="L19" s="91">
        <f t="shared" si="5"/>
        <v>0</v>
      </c>
      <c r="M19" s="91">
        <f t="shared" si="5"/>
        <v>0</v>
      </c>
      <c r="N19" s="92"/>
      <c r="O19" s="93"/>
      <c r="P19" s="90">
        <f t="shared" si="6"/>
        <v>0</v>
      </c>
      <c r="Q19" s="91">
        <f t="shared" si="6"/>
        <v>0</v>
      </c>
      <c r="R19" s="91">
        <f t="shared" si="6"/>
        <v>0</v>
      </c>
      <c r="S19" s="91">
        <f t="shared" si="6"/>
        <v>0</v>
      </c>
      <c r="T19" s="91">
        <f t="shared" si="6"/>
        <v>0</v>
      </c>
      <c r="U19" s="92"/>
      <c r="V19" s="93"/>
      <c r="W19" s="90">
        <f t="shared" si="7"/>
        <v>0</v>
      </c>
      <c r="X19" s="91">
        <f t="shared" si="7"/>
        <v>0</v>
      </c>
      <c r="Y19" s="91">
        <f t="shared" si="7"/>
        <v>0</v>
      </c>
      <c r="Z19" s="91">
        <f t="shared" si="7"/>
        <v>0</v>
      </c>
      <c r="AA19" s="91">
        <f t="shared" si="7"/>
        <v>0</v>
      </c>
      <c r="AB19" s="92"/>
      <c r="AC19" s="93"/>
      <c r="AD19" s="90">
        <f t="shared" si="8"/>
        <v>0</v>
      </c>
      <c r="AE19" s="91">
        <f t="shared" si="8"/>
        <v>0</v>
      </c>
      <c r="AF19" s="91">
        <f t="shared" si="8"/>
        <v>0</v>
      </c>
      <c r="AG19" s="91">
        <f t="shared" si="8"/>
        <v>0</v>
      </c>
      <c r="AH19" s="91">
        <f t="shared" si="8"/>
        <v>0</v>
      </c>
      <c r="AI19" s="92"/>
      <c r="AJ19" s="93"/>
      <c r="AK19" s="211">
        <f t="shared" si="9"/>
        <v>0</v>
      </c>
      <c r="AL19" s="212"/>
      <c r="AM19" s="212"/>
      <c r="AN19" s="212"/>
      <c r="AO19" s="212"/>
      <c r="AP19" s="213"/>
    </row>
    <row r="20" spans="2:42" ht="13" thickBot="1" x14ac:dyDescent="0.3">
      <c r="B20" s="96"/>
      <c r="D20" s="98"/>
      <c r="E20" s="18"/>
      <c r="F20" s="89"/>
      <c r="G20" s="83">
        <f>SUMIF(Sprint!$F$4:$F$1852,E20,Sprint!$CT$4:$CT$1852)</f>
        <v>0</v>
      </c>
      <c r="H20" s="99"/>
      <c r="I20" s="90">
        <f t="shared" si="4"/>
        <v>0</v>
      </c>
      <c r="J20" s="91">
        <f t="shared" si="4"/>
        <v>0</v>
      </c>
      <c r="K20" s="91">
        <f t="shared" si="5"/>
        <v>0</v>
      </c>
      <c r="L20" s="91">
        <f t="shared" si="5"/>
        <v>0</v>
      </c>
      <c r="M20" s="91">
        <f t="shared" si="5"/>
        <v>0</v>
      </c>
      <c r="N20" s="92"/>
      <c r="O20" s="93"/>
      <c r="P20" s="90">
        <f t="shared" si="6"/>
        <v>0</v>
      </c>
      <c r="Q20" s="91">
        <f t="shared" si="6"/>
        <v>0</v>
      </c>
      <c r="R20" s="91">
        <f t="shared" si="6"/>
        <v>0</v>
      </c>
      <c r="S20" s="91">
        <f t="shared" si="6"/>
        <v>0</v>
      </c>
      <c r="T20" s="91">
        <f t="shared" si="6"/>
        <v>0</v>
      </c>
      <c r="U20" s="92"/>
      <c r="V20" s="93"/>
      <c r="W20" s="90">
        <f t="shared" si="7"/>
        <v>0</v>
      </c>
      <c r="X20" s="91">
        <f t="shared" si="7"/>
        <v>0</v>
      </c>
      <c r="Y20" s="91">
        <f t="shared" si="7"/>
        <v>0</v>
      </c>
      <c r="Z20" s="91">
        <f t="shared" si="7"/>
        <v>0</v>
      </c>
      <c r="AA20" s="91">
        <f t="shared" si="7"/>
        <v>0</v>
      </c>
      <c r="AB20" s="92"/>
      <c r="AC20" s="93"/>
      <c r="AD20" s="90">
        <f t="shared" si="8"/>
        <v>0</v>
      </c>
      <c r="AE20" s="91">
        <f t="shared" si="8"/>
        <v>0</v>
      </c>
      <c r="AF20" s="91">
        <f t="shared" si="8"/>
        <v>0</v>
      </c>
      <c r="AG20" s="91">
        <f t="shared" si="8"/>
        <v>0</v>
      </c>
      <c r="AH20" s="91">
        <f t="shared" si="8"/>
        <v>0</v>
      </c>
      <c r="AI20" s="92"/>
      <c r="AJ20" s="93"/>
      <c r="AK20" s="211">
        <f t="shared" si="9"/>
        <v>0</v>
      </c>
      <c r="AL20" s="212"/>
      <c r="AM20" s="212"/>
      <c r="AN20" s="212"/>
      <c r="AO20" s="212"/>
      <c r="AP20" s="213"/>
    </row>
    <row r="21" spans="2:42" ht="13" thickBot="1" x14ac:dyDescent="0.3">
      <c r="B21" s="96"/>
      <c r="C21" s="100"/>
      <c r="D21" s="98"/>
      <c r="E21" s="18"/>
      <c r="F21" s="89"/>
      <c r="G21" s="83">
        <f>SUMIF(Sprint!$F$4:$F$1852,E21,Sprint!$CT$4:$CT$1852)</f>
        <v>0</v>
      </c>
      <c r="H21" s="99"/>
      <c r="I21" s="90">
        <f t="shared" ref="I21:J25" si="10">IF(I$6&lt;$E$3,0,IF(ISBLANK($E21),0,IF(I$6&lt;$E$2,0,1)))</f>
        <v>0</v>
      </c>
      <c r="J21" s="91">
        <f t="shared" si="10"/>
        <v>0</v>
      </c>
      <c r="K21" s="91">
        <f t="shared" si="5"/>
        <v>0</v>
      </c>
      <c r="L21" s="91">
        <f t="shared" si="5"/>
        <v>0</v>
      </c>
      <c r="M21" s="91">
        <f t="shared" si="5"/>
        <v>0</v>
      </c>
      <c r="N21" s="92"/>
      <c r="O21" s="93"/>
      <c r="P21" s="90">
        <f t="shared" ref="P21:Q25" si="11">IF(P$6&lt;$E$3,0,IF(ISBLANK($E21),0,IF(P$6&lt;$E$2,0,1)))</f>
        <v>0</v>
      </c>
      <c r="Q21" s="91">
        <f t="shared" si="11"/>
        <v>0</v>
      </c>
      <c r="R21" s="91">
        <f t="shared" ref="R21:T23" si="12">IF(R$6&lt;$E$3,0,IF(ISBLANK($E21),0,IF(R$6&lt;$E$2,0,1)))</f>
        <v>0</v>
      </c>
      <c r="S21" s="91">
        <f t="shared" si="12"/>
        <v>0</v>
      </c>
      <c r="T21" s="91">
        <f t="shared" si="12"/>
        <v>0</v>
      </c>
      <c r="U21" s="92"/>
      <c r="V21" s="93"/>
      <c r="W21" s="90">
        <f t="shared" ref="W21:AA23" si="13">IF(W$6&lt;$E$3,0,IF(ISBLANK($E21),0,IF(W$6&lt;$E$2,0,1)))</f>
        <v>0</v>
      </c>
      <c r="X21" s="91">
        <f t="shared" si="13"/>
        <v>0</v>
      </c>
      <c r="Y21" s="91">
        <f t="shared" si="13"/>
        <v>0</v>
      </c>
      <c r="Z21" s="91">
        <f t="shared" si="13"/>
        <v>0</v>
      </c>
      <c r="AA21" s="91">
        <f t="shared" si="13"/>
        <v>0</v>
      </c>
      <c r="AB21" s="92"/>
      <c r="AC21" s="93"/>
      <c r="AD21" s="90">
        <f>IF(AD$6&lt;$E$3,0,IF(ISBLANK($E21),0,IF(AD$6&lt;$E$2,0,1)))</f>
        <v>0</v>
      </c>
      <c r="AE21" s="91">
        <f t="shared" ref="AE21:AF23" si="14">IF(AE$6&lt;$E$3,0,IF(ISBLANK($E21),0,IF(AE$6&lt;$E$2,0,1)))</f>
        <v>0</v>
      </c>
      <c r="AF21" s="91">
        <f t="shared" si="14"/>
        <v>0</v>
      </c>
      <c r="AG21" s="91">
        <f t="shared" ref="AG21:AH23" si="15">IF(AG$6&lt;$E$3,0,IF(ISBLANK($E21),0,IF(AG$6&lt;$E$2,0,1)))</f>
        <v>0</v>
      </c>
      <c r="AH21" s="91">
        <f t="shared" si="15"/>
        <v>0</v>
      </c>
      <c r="AI21" s="92"/>
      <c r="AJ21" s="93"/>
      <c r="AK21" s="211">
        <f t="shared" si="9"/>
        <v>0</v>
      </c>
      <c r="AL21" s="212"/>
      <c r="AM21" s="212"/>
      <c r="AN21" s="212"/>
      <c r="AO21" s="212"/>
      <c r="AP21" s="213"/>
    </row>
    <row r="22" spans="2:42" ht="13" thickBot="1" x14ac:dyDescent="0.3">
      <c r="B22" s="70"/>
      <c r="C22" s="101"/>
      <c r="D22" s="98"/>
      <c r="E22" s="18"/>
      <c r="F22" s="102"/>
      <c r="G22" s="83">
        <f>SUMIF(Sprint!$F$4:$F$1852,E22,Sprint!$CT$4:$CT$1852)</f>
        <v>0</v>
      </c>
      <c r="H22" s="99"/>
      <c r="I22" s="90">
        <f t="shared" si="10"/>
        <v>0</v>
      </c>
      <c r="J22" s="91">
        <f t="shared" si="10"/>
        <v>0</v>
      </c>
      <c r="K22" s="91">
        <f t="shared" si="5"/>
        <v>0</v>
      </c>
      <c r="L22" s="91">
        <f t="shared" si="5"/>
        <v>0</v>
      </c>
      <c r="M22" s="91">
        <f t="shared" si="5"/>
        <v>0</v>
      </c>
      <c r="N22" s="92"/>
      <c r="O22" s="93"/>
      <c r="P22" s="90">
        <f t="shared" si="11"/>
        <v>0</v>
      </c>
      <c r="Q22" s="91">
        <f t="shared" si="11"/>
        <v>0</v>
      </c>
      <c r="R22" s="91">
        <f t="shared" si="12"/>
        <v>0</v>
      </c>
      <c r="S22" s="91">
        <f t="shared" si="12"/>
        <v>0</v>
      </c>
      <c r="T22" s="91">
        <f t="shared" si="12"/>
        <v>0</v>
      </c>
      <c r="U22" s="92"/>
      <c r="V22" s="93"/>
      <c r="W22" s="90">
        <f t="shared" si="13"/>
        <v>0</v>
      </c>
      <c r="X22" s="91">
        <f t="shared" si="13"/>
        <v>0</v>
      </c>
      <c r="Y22" s="91">
        <f t="shared" si="13"/>
        <v>0</v>
      </c>
      <c r="Z22" s="91">
        <f t="shared" si="13"/>
        <v>0</v>
      </c>
      <c r="AA22" s="91">
        <f t="shared" si="13"/>
        <v>0</v>
      </c>
      <c r="AB22" s="92"/>
      <c r="AC22" s="93"/>
      <c r="AD22" s="90">
        <f>IF(AD$6&lt;$E$3,0,IF(ISBLANK($E22),0,IF(AD$6&lt;$E$2,0,1)))</f>
        <v>0</v>
      </c>
      <c r="AE22" s="91">
        <f t="shared" si="14"/>
        <v>0</v>
      </c>
      <c r="AF22" s="91">
        <f t="shared" si="14"/>
        <v>0</v>
      </c>
      <c r="AG22" s="91">
        <f t="shared" si="15"/>
        <v>0</v>
      </c>
      <c r="AH22" s="91">
        <f t="shared" si="15"/>
        <v>0</v>
      </c>
      <c r="AI22" s="92"/>
      <c r="AJ22" s="93"/>
      <c r="AK22" s="211">
        <f t="shared" si="9"/>
        <v>0</v>
      </c>
      <c r="AL22" s="212"/>
      <c r="AM22" s="212"/>
      <c r="AN22" s="212"/>
      <c r="AO22" s="212"/>
      <c r="AP22" s="213"/>
    </row>
    <row r="23" spans="2:42" ht="13" thickBot="1" x14ac:dyDescent="0.3">
      <c r="B23" s="70"/>
      <c r="D23" s="98"/>
      <c r="E23" s="18"/>
      <c r="F23" s="102"/>
      <c r="G23" s="83">
        <f>SUMIF(Sprint!$F$4:$F$1852,E23,Sprint!$CT$4:$CT$1852)</f>
        <v>0</v>
      </c>
      <c r="H23" s="99"/>
      <c r="I23" s="90">
        <f t="shared" si="10"/>
        <v>0</v>
      </c>
      <c r="J23" s="91">
        <f t="shared" si="10"/>
        <v>0</v>
      </c>
      <c r="K23" s="91">
        <f t="shared" si="5"/>
        <v>0</v>
      </c>
      <c r="L23" s="91">
        <f t="shared" si="5"/>
        <v>0</v>
      </c>
      <c r="M23" s="91">
        <f t="shared" si="5"/>
        <v>0</v>
      </c>
      <c r="N23" s="92"/>
      <c r="O23" s="93"/>
      <c r="P23" s="90">
        <f t="shared" si="11"/>
        <v>0</v>
      </c>
      <c r="Q23" s="91">
        <f t="shared" si="11"/>
        <v>0</v>
      </c>
      <c r="R23" s="91">
        <f t="shared" si="12"/>
        <v>0</v>
      </c>
      <c r="S23" s="91">
        <f t="shared" si="12"/>
        <v>0</v>
      </c>
      <c r="T23" s="91">
        <f t="shared" si="12"/>
        <v>0</v>
      </c>
      <c r="U23" s="92"/>
      <c r="V23" s="93"/>
      <c r="W23" s="90">
        <f t="shared" si="13"/>
        <v>0</v>
      </c>
      <c r="X23" s="91">
        <f t="shared" si="13"/>
        <v>0</v>
      </c>
      <c r="Y23" s="91">
        <f t="shared" si="13"/>
        <v>0</v>
      </c>
      <c r="Z23" s="91">
        <f t="shared" si="13"/>
        <v>0</v>
      </c>
      <c r="AA23" s="91">
        <f t="shared" si="13"/>
        <v>0</v>
      </c>
      <c r="AB23" s="92"/>
      <c r="AC23" s="93"/>
      <c r="AD23" s="90">
        <f>IF(AD$6&lt;$E$3,0,IF(ISBLANK($E23),0,IF(AD$6&lt;$E$2,0,1)))</f>
        <v>0</v>
      </c>
      <c r="AE23" s="91">
        <f t="shared" si="14"/>
        <v>0</v>
      </c>
      <c r="AF23" s="91">
        <f t="shared" si="14"/>
        <v>0</v>
      </c>
      <c r="AG23" s="91">
        <f t="shared" si="15"/>
        <v>0</v>
      </c>
      <c r="AH23" s="91">
        <f t="shared" si="15"/>
        <v>0</v>
      </c>
      <c r="AI23" s="92"/>
      <c r="AJ23" s="93"/>
      <c r="AK23" s="211">
        <f t="shared" si="9"/>
        <v>0</v>
      </c>
      <c r="AL23" s="212"/>
      <c r="AM23" s="212"/>
      <c r="AN23" s="212"/>
      <c r="AO23" s="212"/>
      <c r="AP23" s="213"/>
    </row>
    <row r="24" spans="2:42" ht="13" thickBot="1" x14ac:dyDescent="0.3">
      <c r="B24" s="96"/>
      <c r="D24" s="98"/>
      <c r="E24" s="18"/>
      <c r="F24" s="102"/>
      <c r="G24" s="83">
        <f>SUMIF(Sprint!$F$4:$F$1852,E24,Sprint!$CT$4:$CT$1852)</f>
        <v>0</v>
      </c>
      <c r="H24" s="99"/>
      <c r="I24" s="90">
        <f t="shared" si="10"/>
        <v>0</v>
      </c>
      <c r="J24" s="91">
        <f t="shared" si="10"/>
        <v>0</v>
      </c>
      <c r="K24" s="91">
        <f t="shared" ref="K24:M25" si="16">IF(K$6&lt;$E$3,0,IF(ISBLANK($E24),0,IF(K$6&lt;$E$2,0,1)))</f>
        <v>0</v>
      </c>
      <c r="L24" s="91">
        <f t="shared" si="16"/>
        <v>0</v>
      </c>
      <c r="M24" s="91">
        <f t="shared" si="16"/>
        <v>0</v>
      </c>
      <c r="N24" s="92"/>
      <c r="O24" s="93"/>
      <c r="P24" s="90">
        <f t="shared" si="11"/>
        <v>0</v>
      </c>
      <c r="Q24" s="91">
        <f t="shared" si="11"/>
        <v>0</v>
      </c>
      <c r="R24" s="91">
        <f t="shared" ref="R24:T25" si="17">IF(R$6&lt;$E$3,0,IF(ISBLANK($E24),0,IF(R$6&lt;$E$2,0,1)))</f>
        <v>0</v>
      </c>
      <c r="S24" s="91">
        <f t="shared" si="17"/>
        <v>0</v>
      </c>
      <c r="T24" s="91">
        <f t="shared" si="17"/>
        <v>0</v>
      </c>
      <c r="U24" s="92"/>
      <c r="V24" s="93"/>
      <c r="W24" s="90">
        <f>IF(W$6&lt;$E$3,0,IF(ISBLANK($E24),0,IF(W$6&lt;$E$2,0,1)))</f>
        <v>0</v>
      </c>
      <c r="X24" s="91">
        <f>IF(X$6&lt;$E$3,0,IF(ISBLANK($E24),0,IF(X$6&lt;$E$2,0,1)))</f>
        <v>0</v>
      </c>
      <c r="Y24" s="91">
        <f t="shared" ref="Y24:AA25" si="18">IF(Y$6&lt;$E$3,0,IF(ISBLANK($E24),0,IF(Y$6&lt;$E$2,0,1)))</f>
        <v>0</v>
      </c>
      <c r="Z24" s="91">
        <f t="shared" si="18"/>
        <v>0</v>
      </c>
      <c r="AA24" s="91">
        <f t="shared" si="18"/>
        <v>0</v>
      </c>
      <c r="AB24" s="92"/>
      <c r="AC24" s="93"/>
      <c r="AD24" s="90">
        <f>IF(AD$6&lt;$E$3,0,IF(ISBLANK($E24),0,IF(AD$6&lt;$E$2,0,1)))</f>
        <v>0</v>
      </c>
      <c r="AE24" s="91">
        <f>IF(AE$6&lt;$E$3,0,IF(ISBLANK($E24),0,IF(AE$6&lt;$E$2,0,1)))</f>
        <v>0</v>
      </c>
      <c r="AF24" s="91">
        <f t="shared" ref="AF24:AH25" si="19">IF(AF$6&lt;$E$3,0,IF(ISBLANK($E24),0,IF(AF$6&lt;$E$2,0,1)))</f>
        <v>0</v>
      </c>
      <c r="AG24" s="91">
        <f t="shared" si="19"/>
        <v>0</v>
      </c>
      <c r="AH24" s="91">
        <f t="shared" si="19"/>
        <v>0</v>
      </c>
      <c r="AI24" s="92"/>
      <c r="AJ24" s="93"/>
      <c r="AK24" s="211">
        <f t="shared" si="9"/>
        <v>0</v>
      </c>
      <c r="AL24" s="212"/>
      <c r="AM24" s="212"/>
      <c r="AN24" s="212"/>
      <c r="AO24" s="212"/>
      <c r="AP24" s="213"/>
    </row>
    <row r="25" spans="2:42" ht="13" thickBot="1" x14ac:dyDescent="0.3">
      <c r="B25" s="96"/>
      <c r="D25" s="98"/>
      <c r="E25" s="103"/>
      <c r="F25" s="104"/>
      <c r="G25" s="83">
        <f>SUMIF(Sprint!$F$4:$F$1852,E25,Sprint!$CT$4:$CT$1852)</f>
        <v>0</v>
      </c>
      <c r="H25" s="99"/>
      <c r="I25" s="105">
        <f t="shared" si="10"/>
        <v>0</v>
      </c>
      <c r="J25" s="106">
        <f t="shared" si="10"/>
        <v>0</v>
      </c>
      <c r="K25" s="106">
        <f t="shared" si="16"/>
        <v>0</v>
      </c>
      <c r="L25" s="106">
        <f t="shared" si="16"/>
        <v>0</v>
      </c>
      <c r="M25" s="106">
        <f t="shared" si="16"/>
        <v>0</v>
      </c>
      <c r="N25" s="107"/>
      <c r="O25" s="108"/>
      <c r="P25" s="105">
        <f t="shared" si="11"/>
        <v>0</v>
      </c>
      <c r="Q25" s="106">
        <f t="shared" si="11"/>
        <v>0</v>
      </c>
      <c r="R25" s="106">
        <f t="shared" si="17"/>
        <v>0</v>
      </c>
      <c r="S25" s="106">
        <f t="shared" si="17"/>
        <v>0</v>
      </c>
      <c r="T25" s="106">
        <f t="shared" si="17"/>
        <v>0</v>
      </c>
      <c r="U25" s="107"/>
      <c r="V25" s="108"/>
      <c r="W25" s="105">
        <f>IF(W$6&lt;$E$3,0,IF(ISBLANK($E25),0,IF(W$6&lt;$E$2,0,1)))</f>
        <v>0</v>
      </c>
      <c r="X25" s="106">
        <f>IF(X$6&lt;$E$3,0,IF(ISBLANK($E25),0,IF(X$6&lt;$E$2,0,1)))</f>
        <v>0</v>
      </c>
      <c r="Y25" s="106">
        <f t="shared" si="18"/>
        <v>0</v>
      </c>
      <c r="Z25" s="106">
        <f t="shared" si="18"/>
        <v>0</v>
      </c>
      <c r="AA25" s="106">
        <f t="shared" si="18"/>
        <v>0</v>
      </c>
      <c r="AB25" s="107"/>
      <c r="AC25" s="108"/>
      <c r="AD25" s="105">
        <f>IF(AD$6&lt;$E$3,0,IF(ISBLANK($E25),0,IF(AD$6&lt;$E$2,0,1)))</f>
        <v>0</v>
      </c>
      <c r="AE25" s="106">
        <f>IF(AE$6&lt;$E$3,0,IF(ISBLANK($E25),0,IF(AE$6&lt;$E$2,0,1)))</f>
        <v>0</v>
      </c>
      <c r="AF25" s="106">
        <f t="shared" si="19"/>
        <v>0</v>
      </c>
      <c r="AG25" s="106">
        <f t="shared" si="19"/>
        <v>0</v>
      </c>
      <c r="AH25" s="106">
        <f t="shared" si="19"/>
        <v>0</v>
      </c>
      <c r="AI25" s="107"/>
      <c r="AJ25" s="108"/>
      <c r="AK25" s="211">
        <f t="shared" si="9"/>
        <v>0</v>
      </c>
      <c r="AL25" s="212"/>
      <c r="AM25" s="212"/>
      <c r="AN25" s="212"/>
      <c r="AO25" s="212"/>
      <c r="AP25" s="213"/>
    </row>
    <row r="26" spans="2:42" x14ac:dyDescent="0.25">
      <c r="B26" s="96"/>
      <c r="D26" s="98"/>
      <c r="E26" s="109"/>
      <c r="F26" s="100"/>
      <c r="G26" s="110"/>
      <c r="I26" s="111"/>
      <c r="J26" s="112"/>
      <c r="K26" s="112"/>
      <c r="L26" s="112"/>
      <c r="M26" s="112"/>
      <c r="N26" s="113"/>
      <c r="O26" s="113"/>
      <c r="P26" s="112"/>
      <c r="Q26" s="112"/>
      <c r="R26" s="112"/>
      <c r="S26" s="112"/>
      <c r="T26" s="112"/>
      <c r="U26" s="113"/>
      <c r="V26" s="113"/>
      <c r="W26" s="112"/>
      <c r="X26" s="112"/>
      <c r="Y26" s="112"/>
      <c r="Z26" s="112"/>
      <c r="AA26" s="112"/>
      <c r="AB26" s="113"/>
      <c r="AC26" s="113"/>
      <c r="AD26" s="112"/>
      <c r="AE26" s="112"/>
      <c r="AF26" s="112"/>
      <c r="AG26" s="112"/>
      <c r="AH26" s="112"/>
      <c r="AI26" s="113"/>
      <c r="AJ26" s="113"/>
      <c r="AK26" s="114"/>
      <c r="AL26" s="114"/>
      <c r="AM26" s="114"/>
      <c r="AN26" s="114"/>
      <c r="AO26" s="114"/>
      <c r="AP26" s="115"/>
    </row>
    <row r="27" spans="2:42" ht="13" thickBot="1" x14ac:dyDescent="0.3">
      <c r="B27" s="116"/>
      <c r="C27" s="117"/>
      <c r="D27" s="117"/>
      <c r="E27" s="118"/>
      <c r="F27" s="118"/>
      <c r="G27" s="119"/>
      <c r="I27" s="120"/>
      <c r="J27" s="118"/>
      <c r="K27" s="118"/>
      <c r="L27" s="118"/>
      <c r="M27" s="121"/>
      <c r="N27" s="121"/>
      <c r="O27" s="121"/>
      <c r="P27" s="121"/>
      <c r="Q27" s="121"/>
      <c r="R27" s="118"/>
      <c r="S27" s="118"/>
      <c r="T27" s="121"/>
      <c r="U27" s="121"/>
      <c r="V27" s="121"/>
      <c r="W27" s="121"/>
      <c r="X27" s="121"/>
      <c r="Y27" s="118"/>
      <c r="Z27" s="118"/>
      <c r="AA27" s="121"/>
      <c r="AB27" s="118"/>
      <c r="AC27" s="118"/>
      <c r="AD27" s="118"/>
      <c r="AE27" s="118"/>
      <c r="AF27" s="118"/>
      <c r="AG27" s="118"/>
      <c r="AH27" s="118"/>
      <c r="AI27" s="118"/>
      <c r="AJ27" s="118"/>
      <c r="AK27" s="118"/>
      <c r="AL27" s="118"/>
      <c r="AM27" s="118"/>
      <c r="AN27" s="118"/>
      <c r="AO27" s="118"/>
      <c r="AP27" s="119"/>
    </row>
    <row r="29" spans="2:42" x14ac:dyDescent="0.25">
      <c r="I29" s="122" t="s">
        <v>56</v>
      </c>
      <c r="J29" s="43" t="s">
        <v>46</v>
      </c>
      <c r="K29" s="43" t="s">
        <v>57</v>
      </c>
      <c r="Q29" s="122" t="s">
        <v>55</v>
      </c>
      <c r="R29" s="43" t="s">
        <v>46</v>
      </c>
      <c r="S29" s="43" t="s">
        <v>59</v>
      </c>
    </row>
    <row r="30" spans="2:42" x14ac:dyDescent="0.25">
      <c r="C30" s="123"/>
      <c r="D30" s="123"/>
    </row>
    <row r="31" spans="2:42" x14ac:dyDescent="0.25">
      <c r="B31" s="98"/>
      <c r="C31" s="123"/>
      <c r="D31" s="123"/>
      <c r="E31" s="124"/>
      <c r="J31" s="6"/>
    </row>
    <row r="32" spans="2:42" x14ac:dyDescent="0.25">
      <c r="C32" s="123"/>
      <c r="D32" s="123"/>
      <c r="E32" s="124"/>
      <c r="F32" s="53"/>
    </row>
    <row r="37" spans="2:26" x14ac:dyDescent="0.25">
      <c r="I37" s="125"/>
    </row>
    <row r="38" spans="2:26" x14ac:dyDescent="0.25">
      <c r="J38" s="126"/>
      <c r="K38" s="127"/>
      <c r="L38" s="127"/>
      <c r="M38" s="127"/>
      <c r="N38" s="127"/>
      <c r="O38" s="127"/>
      <c r="Q38" s="126"/>
      <c r="R38" s="127"/>
      <c r="S38" s="127"/>
      <c r="T38" s="127"/>
      <c r="U38" s="127"/>
      <c r="V38" s="127"/>
      <c r="X38" s="127"/>
      <c r="Y38" s="128"/>
      <c r="Z38" s="127"/>
    </row>
    <row r="40" spans="2:26" x14ac:dyDescent="0.25">
      <c r="E40" s="6"/>
    </row>
    <row r="45" spans="2:26" x14ac:dyDescent="0.25">
      <c r="B45" s="129"/>
      <c r="E45" s="125"/>
    </row>
  </sheetData>
  <mergeCells count="21">
    <mergeCell ref="AK25:AP25"/>
    <mergeCell ref="AK22:AP22"/>
    <mergeCell ref="AK10:AP10"/>
    <mergeCell ref="AK16:AP16"/>
    <mergeCell ref="AK17:AP17"/>
    <mergeCell ref="AK18:AP18"/>
    <mergeCell ref="AK13:AP13"/>
    <mergeCell ref="AK14:AP14"/>
    <mergeCell ref="AK15:AP15"/>
    <mergeCell ref="AK19:AP19"/>
    <mergeCell ref="AK20:AP20"/>
    <mergeCell ref="AK21:AP21"/>
    <mergeCell ref="AK23:AP23"/>
    <mergeCell ref="AK24:AP24"/>
    <mergeCell ref="B5:G5"/>
    <mergeCell ref="AK6:AP6"/>
    <mergeCell ref="AK12:AP12"/>
    <mergeCell ref="AK11:AP11"/>
    <mergeCell ref="AK7:AP7"/>
    <mergeCell ref="AK8:AP8"/>
    <mergeCell ref="AK9:AP9"/>
  </mergeCells>
  <phoneticPr fontId="0" type="noConversion"/>
  <conditionalFormatting sqref="G8:G25">
    <cfRule type="expression" dxfId="24" priority="2" stopIfTrue="1">
      <formula>G8&gt;AK8</formula>
    </cfRule>
  </conditionalFormatting>
  <conditionalFormatting sqref="I8:M25 P8:T25 W8:AA25 AD8:AH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AL30:AL34 AL26:AL28 J32:J34 J26:J30 I26:I34 Q29 T26:AK34 N8:O25 K26:O34 U8:V25 AI8:AJ25 AB8:AC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AD6 W6 P6">
    <cfRule type="expression" dxfId="17" priority="21" stopIfTrue="1">
      <formula>P$6=TODAY()</formula>
    </cfRule>
    <cfRule type="expression" dxfId="16" priority="22" stopIfTrue="1">
      <formula>IF((P$6+1-$E$3)=$F$6,1,0)</formula>
    </cfRule>
  </conditionalFormatting>
  <conditionalFormatting sqref="AE6:AJ6 X6:AC6 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H8&gt;AL8</formula>
    </cfRule>
  </conditionalFormatting>
  <conditionalFormatting sqref="F30:F33">
    <cfRule type="expression" dxfId="10" priority="4" stopIfTrue="1">
      <formula>H28&gt;AL28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AK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27</vt:i4>
      </vt:variant>
    </vt:vector>
  </HeadingPairs>
  <TitlesOfParts>
    <vt:vector size="31" baseType="lpstr">
      <vt:lpstr>Sprint</vt:lpstr>
      <vt:lpstr>Analysis</vt:lpstr>
      <vt:lpstr>Team Roster</vt:lpstr>
      <vt:lpstr>Capacity</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Wen</cp:lastModifiedBy>
  <cp:revision>1</cp:revision>
  <cp:lastPrinted>2005-08-15T09:18:22Z</cp:lastPrinted>
  <dcterms:created xsi:type="dcterms:W3CDTF">2005-01-26T21:50:47Z</dcterms:created>
  <dcterms:modified xsi:type="dcterms:W3CDTF">2016-05-25T13:00:30Z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