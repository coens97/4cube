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E:\ICT class\year2\ProCP\4cube\Progress\"/>
    </mc:Choice>
  </mc:AlternateContent>
  <bookViews>
    <workbookView xWindow="750" yWindow="1800" windowWidth="14640" windowHeight="6230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Sprint!$C$3:$CE$68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BA54" i="7" l="1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N54" i="7" s="1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L54" i="7" l="1"/>
  <c r="O54" i="7" s="1"/>
  <c r="G54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N49" i="7" s="1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L50" i="7"/>
  <c r="K50" i="7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N47" i="7" s="1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L7" i="7"/>
  <c r="K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K4" i="7"/>
  <c r="L49" i="7" l="1"/>
  <c r="L47" i="7"/>
  <c r="R54" i="7"/>
  <c r="U54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9" i="7"/>
  <c r="R49" i="7" s="1"/>
  <c r="G49" i="7"/>
  <c r="G50" i="7"/>
  <c r="O50" i="7"/>
  <c r="R50" i="7" s="1"/>
  <c r="O47" i="7"/>
  <c r="R47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7" i="7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4" i="7"/>
  <c r="BD4" i="7" s="1"/>
  <c r="BG4" i="7" s="1"/>
  <c r="BJ4" i="7" s="1"/>
  <c r="BM4" i="7" s="1"/>
  <c r="BP4" i="7" s="1"/>
  <c r="BS4" i="7" s="1"/>
  <c r="BV4" i="7" s="1"/>
  <c r="BY4" i="7" s="1"/>
  <c r="CB4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U50" i="7" l="1"/>
  <c r="X50" i="7" s="1"/>
  <c r="AA50" i="7" s="1"/>
  <c r="G47" i="7"/>
  <c r="X54" i="7"/>
  <c r="O48" i="7"/>
  <c r="G48" i="7" s="1"/>
  <c r="U49" i="7"/>
  <c r="U47" i="7"/>
  <c r="X47" i="7" s="1"/>
  <c r="O43" i="7"/>
  <c r="O42" i="7"/>
  <c r="G42" i="7" s="1"/>
  <c r="R7" i="7"/>
  <c r="U7" i="7" s="1"/>
  <c r="L4" i="7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L12" i="7"/>
  <c r="Q5" i="7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Q8" i="7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Q10" i="7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5" i="7"/>
  <c r="R45" i="7" s="1"/>
  <c r="U45" i="7" s="1"/>
  <c r="N51" i="7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R43" i="7" l="1"/>
  <c r="G43" i="7"/>
  <c r="AA54" i="7"/>
  <c r="R48" i="7"/>
  <c r="U48" i="7" s="1"/>
  <c r="X48" i="7" s="1"/>
  <c r="X49" i="7"/>
  <c r="AD50" i="7"/>
  <c r="AG50" i="7" s="1"/>
  <c r="AA47" i="7"/>
  <c r="AD47" i="7" s="1"/>
  <c r="U43" i="7"/>
  <c r="R42" i="7"/>
  <c r="X7" i="7"/>
  <c r="AA7" i="7" s="1"/>
  <c r="O25" i="7"/>
  <c r="R25" i="7" s="1"/>
  <c r="O67" i="7"/>
  <c r="R67" i="7" s="1"/>
  <c r="O46" i="7"/>
  <c r="R46" i="7" s="1"/>
  <c r="U46" i="7" s="1"/>
  <c r="G46" i="7"/>
  <c r="G45" i="7"/>
  <c r="X45" i="7"/>
  <c r="Q53" i="7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Q51" i="7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O51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R41" i="7" s="1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R33" i="7" s="1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G10" i="6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66" i="7"/>
  <c r="O64" i="7"/>
  <c r="O62" i="7"/>
  <c r="R62" i="7" s="1"/>
  <c r="U62" i="7" s="1"/>
  <c r="G62" i="7" s="1"/>
  <c r="O60" i="7"/>
  <c r="O58" i="7"/>
  <c r="R58" i="7" s="1"/>
  <c r="U58" i="7" s="1"/>
  <c r="G58" i="7" s="1"/>
  <c r="O65" i="7"/>
  <c r="O63" i="7"/>
  <c r="R63" i="7" s="1"/>
  <c r="U63" i="7" s="1"/>
  <c r="G63" i="7" s="1"/>
  <c r="O61" i="7"/>
  <c r="R60" i="7"/>
  <c r="O59" i="7"/>
  <c r="O57" i="7"/>
  <c r="R57" i="7" s="1"/>
  <c r="AA45" i="7"/>
  <c r="O55" i="7"/>
  <c r="R55" i="7" s="1"/>
  <c r="O52" i="7"/>
  <c r="R52" i="7" s="1"/>
  <c r="U52" i="7" s="1"/>
  <c r="G52" i="7" s="1"/>
  <c r="O44" i="7"/>
  <c r="O40" i="7"/>
  <c r="O38" i="7"/>
  <c r="O36" i="7"/>
  <c r="O34" i="7"/>
  <c r="O32" i="7"/>
  <c r="O30" i="7"/>
  <c r="O28" i="7"/>
  <c r="O26" i="7"/>
  <c r="O24" i="7"/>
  <c r="R24" i="7" s="1"/>
  <c r="O6" i="7"/>
  <c r="R6" i="7" s="1"/>
  <c r="U6" i="7" s="1"/>
  <c r="O4" i="7"/>
  <c r="O22" i="7"/>
  <c r="R22" i="7" s="1"/>
  <c r="U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1" i="7"/>
  <c r="R59" i="7"/>
  <c r="U59" i="7" s="1"/>
  <c r="G59" i="7" s="1"/>
  <c r="R28" i="7"/>
  <c r="R18" i="7"/>
  <c r="U18" i="7" s="1"/>
  <c r="G18" i="7" s="1"/>
  <c r="O5" i="7"/>
  <c r="O20" i="7"/>
  <c r="O16" i="7"/>
  <c r="O11" i="7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U42" i="7" l="1"/>
  <c r="X42" i="7" s="1"/>
  <c r="AA42" i="7" s="1"/>
  <c r="R17" i="7"/>
  <c r="R39" i="7"/>
  <c r="U39" i="7" s="1"/>
  <c r="G11" i="6"/>
  <c r="G8" i="6"/>
  <c r="AD54" i="7"/>
  <c r="AG54" i="7" s="1"/>
  <c r="AA48" i="7"/>
  <c r="AD48" i="7" s="1"/>
  <c r="AA49" i="7"/>
  <c r="AJ50" i="7"/>
  <c r="AM50" i="7" s="1"/>
  <c r="AP50" i="7" s="1"/>
  <c r="AG47" i="7"/>
  <c r="X43" i="7"/>
  <c r="R31" i="7"/>
  <c r="U28" i="7"/>
  <c r="G28" i="7" s="1"/>
  <c r="R21" i="7"/>
  <c r="AD7" i="7"/>
  <c r="AG7" i="7" s="1"/>
  <c r="R23" i="7"/>
  <c r="R15" i="7"/>
  <c r="U15" i="7" s="1"/>
  <c r="R19" i="7"/>
  <c r="R29" i="7"/>
  <c r="R37" i="7"/>
  <c r="U37" i="7" s="1"/>
  <c r="R53" i="7"/>
  <c r="U53" i="7" s="1"/>
  <c r="X46" i="7"/>
  <c r="AA46" i="7" s="1"/>
  <c r="U60" i="7"/>
  <c r="R13" i="7"/>
  <c r="U13" i="7" s="1"/>
  <c r="U31" i="7"/>
  <c r="G31" i="7" s="1"/>
  <c r="G60" i="7"/>
  <c r="X60" i="7"/>
  <c r="U67" i="7"/>
  <c r="R66" i="7"/>
  <c r="U66" i="7" s="1"/>
  <c r="R4" i="7"/>
  <c r="U4" i="7" s="1"/>
  <c r="G4" i="7" s="1"/>
  <c r="R27" i="7"/>
  <c r="R35" i="7"/>
  <c r="R51" i="7"/>
  <c r="U51" i="7" s="1"/>
  <c r="R64" i="7"/>
  <c r="U14" i="7"/>
  <c r="U35" i="7"/>
  <c r="AD45" i="7"/>
  <c r="AG45" i="7" s="1"/>
  <c r="AD46" i="7"/>
  <c r="AG46" i="7" s="1"/>
  <c r="G51" i="7"/>
  <c r="X51" i="7"/>
  <c r="G35" i="7"/>
  <c r="U25" i="7"/>
  <c r="R11" i="7"/>
  <c r="U11" i="7" s="1"/>
  <c r="U12" i="7"/>
  <c r="X8" i="7"/>
  <c r="AA8" i="7" s="1"/>
  <c r="U10" i="7"/>
  <c r="X10" i="7" s="1"/>
  <c r="R20" i="7"/>
  <c r="U20" i="7" s="1"/>
  <c r="G20" i="7" s="1"/>
  <c r="X22" i="7"/>
  <c r="AA22" i="7" s="1"/>
  <c r="R26" i="7"/>
  <c r="U29" i="7"/>
  <c r="R34" i="7"/>
  <c r="R36" i="7"/>
  <c r="R44" i="7"/>
  <c r="R56" i="7"/>
  <c r="X52" i="7"/>
  <c r="AA52" i="7" s="1"/>
  <c r="U17" i="7"/>
  <c r="U21" i="7"/>
  <c r="U41" i="7"/>
  <c r="R65" i="7"/>
  <c r="G67" i="7"/>
  <c r="X67" i="7"/>
  <c r="AA67" i="7" s="1"/>
  <c r="U9" i="7"/>
  <c r="X9" i="7" s="1"/>
  <c r="AA9" i="7" s="1"/>
  <c r="U27" i="7"/>
  <c r="R32" i="7"/>
  <c r="R38" i="7"/>
  <c r="U55" i="7"/>
  <c r="X55" i="7" s="1"/>
  <c r="U57" i="7"/>
  <c r="X58" i="7"/>
  <c r="U61" i="7"/>
  <c r="X62" i="7"/>
  <c r="X6" i="7"/>
  <c r="AA6" i="7" s="1"/>
  <c r="R5" i="7"/>
  <c r="R16" i="7"/>
  <c r="X18" i="7"/>
  <c r="U24" i="7"/>
  <c r="R30" i="7"/>
  <c r="U33" i="7"/>
  <c r="R40" i="7"/>
  <c r="X59" i="7"/>
  <c r="AA60" i="7"/>
  <c r="X63" i="7"/>
  <c r="U19" i="7"/>
  <c r="U23" i="7"/>
  <c r="R68" i="7"/>
  <c r="U68" i="7" s="1"/>
  <c r="X68" i="7" s="1"/>
  <c r="AA68" i="7" s="1"/>
  <c r="X28" i="7" l="1"/>
  <c r="AJ54" i="7"/>
  <c r="AM54" i="7" s="1"/>
  <c r="AG48" i="7"/>
  <c r="AJ48" i="7" s="1"/>
  <c r="AM48" i="7" s="1"/>
  <c r="AD49" i="7"/>
  <c r="AG49" i="7" s="1"/>
  <c r="AS50" i="7"/>
  <c r="AV50" i="7" s="1"/>
  <c r="AJ47" i="7"/>
  <c r="AM47" i="7" s="1"/>
  <c r="AP47" i="7" s="1"/>
  <c r="AA43" i="7"/>
  <c r="AD42" i="7"/>
  <c r="AG42" i="7" s="1"/>
  <c r="X25" i="7"/>
  <c r="X15" i="7"/>
  <c r="AA15" i="7" s="1"/>
  <c r="AD15" i="7" s="1"/>
  <c r="AG15" i="7" s="1"/>
  <c r="AJ7" i="7"/>
  <c r="X31" i="7"/>
  <c r="AA31" i="7" s="1"/>
  <c r="AA10" i="7"/>
  <c r="AD10" i="7" s="1"/>
  <c r="AG10" i="7" s="1"/>
  <c r="AJ10" i="7" s="1"/>
  <c r="G66" i="7"/>
  <c r="X66" i="7"/>
  <c r="AA66" i="7" s="1"/>
  <c r="X35" i="7"/>
  <c r="AA35" i="7" s="1"/>
  <c r="AD35" i="7" s="1"/>
  <c r="U64" i="7"/>
  <c r="AA51" i="7"/>
  <c r="AD51" i="7" s="1"/>
  <c r="X4" i="7"/>
  <c r="AA4" i="7" s="1"/>
  <c r="X21" i="7"/>
  <c r="AA21" i="7" s="1"/>
  <c r="AD21" i="7" s="1"/>
  <c r="G21" i="7" s="1"/>
  <c r="X13" i="7"/>
  <c r="AA13" i="7" s="1"/>
  <c r="X11" i="7"/>
  <c r="AA11" i="7" s="1"/>
  <c r="X14" i="7"/>
  <c r="AA14" i="7" s="1"/>
  <c r="AD67" i="7"/>
  <c r="AG67" i="7" s="1"/>
  <c r="G23" i="7"/>
  <c r="X23" i="7"/>
  <c r="AA23" i="7" s="1"/>
  <c r="G19" i="7"/>
  <c r="X19" i="7"/>
  <c r="AA19" i="7" s="1"/>
  <c r="U30" i="7"/>
  <c r="G30" i="7" s="1"/>
  <c r="G61" i="7"/>
  <c r="G55" i="7"/>
  <c r="U32" i="7"/>
  <c r="AD9" i="7"/>
  <c r="G9" i="7" s="1"/>
  <c r="G53" i="7"/>
  <c r="X53" i="7"/>
  <c r="G39" i="7"/>
  <c r="X39" i="7"/>
  <c r="AA39" i="7" s="1"/>
  <c r="AD52" i="7"/>
  <c r="AG52" i="7" s="1"/>
  <c r="U44" i="7"/>
  <c r="U36" i="7"/>
  <c r="X36" i="7" s="1"/>
  <c r="G29" i="7"/>
  <c r="X29" i="7"/>
  <c r="U26" i="7"/>
  <c r="AD8" i="7"/>
  <c r="AG8" i="7" s="1"/>
  <c r="AA55" i="7"/>
  <c r="AD55" i="7" s="1"/>
  <c r="AA28" i="7"/>
  <c r="AD28" i="7" s="1"/>
  <c r="AG28" i="7" s="1"/>
  <c r="U5" i="7"/>
  <c r="X20" i="7"/>
  <c r="AA20" i="7" s="1"/>
  <c r="AA62" i="7"/>
  <c r="AA58" i="7"/>
  <c r="AD58" i="7" s="1"/>
  <c r="AA63" i="7"/>
  <c r="AA59" i="7"/>
  <c r="X32" i="7"/>
  <c r="X17" i="7"/>
  <c r="AJ46" i="7"/>
  <c r="AM46" i="7" s="1"/>
  <c r="AP46" i="7" s="1"/>
  <c r="U40" i="7"/>
  <c r="G33" i="7"/>
  <c r="X33" i="7"/>
  <c r="AA33" i="7" s="1"/>
  <c r="G24" i="7"/>
  <c r="X24" i="7"/>
  <c r="AD6" i="7"/>
  <c r="G57" i="7"/>
  <c r="U38" i="7"/>
  <c r="X38" i="7" s="1"/>
  <c r="X27" i="7"/>
  <c r="AA27" i="7" s="1"/>
  <c r="U65" i="7"/>
  <c r="X65" i="7" s="1"/>
  <c r="G41" i="7"/>
  <c r="X41" i="7"/>
  <c r="G37" i="7"/>
  <c r="X37" i="7"/>
  <c r="AA37" i="7" s="1"/>
  <c r="U56" i="7"/>
  <c r="U34" i="7"/>
  <c r="X12" i="7"/>
  <c r="AD31" i="7"/>
  <c r="AD22" i="7"/>
  <c r="X61" i="7"/>
  <c r="X57" i="7"/>
  <c r="AD62" i="7"/>
  <c r="AD60" i="7"/>
  <c r="AA18" i="7"/>
  <c r="AD18" i="7" s="1"/>
  <c r="U16" i="7"/>
  <c r="AA25" i="7"/>
  <c r="AJ45" i="7"/>
  <c r="AJ15" i="7"/>
  <c r="G15" i="7" s="1"/>
  <c r="AD68" i="7"/>
  <c r="AG6" i="7" l="1"/>
  <c r="AJ6" i="7" s="1"/>
  <c r="G6" i="7"/>
  <c r="AP54" i="7"/>
  <c r="AS54" i="7" s="1"/>
  <c r="AP48" i="7"/>
  <c r="AJ49" i="7"/>
  <c r="AY50" i="7"/>
  <c r="AS47" i="7"/>
  <c r="AV47" i="7" s="1"/>
  <c r="AY47" i="7" s="1"/>
  <c r="AD43" i="7"/>
  <c r="AJ42" i="7"/>
  <c r="AM7" i="7"/>
  <c r="AD4" i="7"/>
  <c r="AG4" i="7" s="1"/>
  <c r="AG51" i="7"/>
  <c r="AJ51" i="7" s="1"/>
  <c r="AM51" i="7" s="1"/>
  <c r="AD14" i="7"/>
  <c r="AG14" i="7" s="1"/>
  <c r="AJ14" i="7" s="1"/>
  <c r="AG35" i="7"/>
  <c r="AJ35" i="7" s="1"/>
  <c r="G64" i="7"/>
  <c r="X64" i="7"/>
  <c r="X30" i="7"/>
  <c r="AD66" i="7"/>
  <c r="AG66" i="7" s="1"/>
  <c r="AJ66" i="7" s="1"/>
  <c r="AD13" i="7"/>
  <c r="AG13" i="7" s="1"/>
  <c r="AJ13" i="7" s="1"/>
  <c r="G13" i="7" s="1"/>
  <c r="AS46" i="7"/>
  <c r="AV46" i="7" s="1"/>
  <c r="AY46" i="7" s="1"/>
  <c r="AA12" i="7"/>
  <c r="G34" i="7"/>
  <c r="G56" i="7"/>
  <c r="G65" i="7"/>
  <c r="G40" i="7"/>
  <c r="AG58" i="7"/>
  <c r="AD20" i="7"/>
  <c r="AJ8" i="7"/>
  <c r="G36" i="7"/>
  <c r="AA36" i="7"/>
  <c r="AD36" i="7" s="1"/>
  <c r="AG36" i="7" s="1"/>
  <c r="AJ52" i="7"/>
  <c r="AD39" i="7"/>
  <c r="AG39" i="7" s="1"/>
  <c r="AJ39" i="7" s="1"/>
  <c r="AA53" i="7"/>
  <c r="AD53" i="7" s="1"/>
  <c r="AD33" i="7"/>
  <c r="X34" i="7"/>
  <c r="AM6" i="7"/>
  <c r="AA24" i="7"/>
  <c r="AJ28" i="7"/>
  <c r="AG21" i="7"/>
  <c r="AG22" i="7"/>
  <c r="AD24" i="7"/>
  <c r="AD25" i="7"/>
  <c r="AG25" i="7" s="1"/>
  <c r="AJ25" i="7" s="1"/>
  <c r="G25" i="7" s="1"/>
  <c r="AG31" i="7"/>
  <c r="X40" i="7"/>
  <c r="AA40" i="7" s="1"/>
  <c r="AD40" i="7" s="1"/>
  <c r="X26" i="7"/>
  <c r="X44" i="7"/>
  <c r="AA44" i="7" s="1"/>
  <c r="AD44" i="7" s="1"/>
  <c r="AG9" i="7"/>
  <c r="AG55" i="7"/>
  <c r="AJ58" i="7"/>
  <c r="X5" i="7"/>
  <c r="AA5" i="7" s="1"/>
  <c r="AG18" i="7"/>
  <c r="AD59" i="7"/>
  <c r="AG59" i="7" s="1"/>
  <c r="AG60" i="7"/>
  <c r="AJ60" i="7" s="1"/>
  <c r="AM60" i="7" s="1"/>
  <c r="AP60" i="7" s="1"/>
  <c r="AS60" i="7" s="1"/>
  <c r="AV60" i="7" s="1"/>
  <c r="AY60" i="7" s="1"/>
  <c r="AD19" i="7"/>
  <c r="AJ67" i="7"/>
  <c r="AD37" i="7"/>
  <c r="AD27" i="7"/>
  <c r="G38" i="7"/>
  <c r="AA38" i="7"/>
  <c r="AD38" i="7" s="1"/>
  <c r="AA17" i="7"/>
  <c r="AG62" i="7"/>
  <c r="AJ62" i="7" s="1"/>
  <c r="G44" i="7"/>
  <c r="G32" i="7"/>
  <c r="AA32" i="7"/>
  <c r="AD32" i="7" s="1"/>
  <c r="AM45" i="7"/>
  <c r="AP45" i="7" s="1"/>
  <c r="AD23" i="7"/>
  <c r="AG23" i="7" s="1"/>
  <c r="X56" i="7"/>
  <c r="AA65" i="7"/>
  <c r="AM10" i="7"/>
  <c r="AP10" i="7" s="1"/>
  <c r="AD11" i="7"/>
  <c r="AA57" i="7"/>
  <c r="AA61" i="7"/>
  <c r="AM15" i="7"/>
  <c r="AA30" i="7"/>
  <c r="AA29" i="7"/>
  <c r="AD17" i="7"/>
  <c r="X16" i="7"/>
  <c r="AD63" i="7"/>
  <c r="AA41" i="7"/>
  <c r="AG68" i="7"/>
  <c r="AS48" i="7" l="1"/>
  <c r="AV54" i="7"/>
  <c r="AY54" i="7" s="1"/>
  <c r="AM49" i="7"/>
  <c r="AP49" i="7"/>
  <c r="AS49" i="7" s="1"/>
  <c r="AV49" i="7" s="1"/>
  <c r="AY49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AG43" i="7"/>
  <c r="AJ43" i="7" s="1"/>
  <c r="AM43" i="7" s="1"/>
  <c r="AP43" i="7" s="1"/>
  <c r="AS43" i="7" s="1"/>
  <c r="AV43" i="7" s="1"/>
  <c r="AY43" i="7" s="1"/>
  <c r="AM42" i="7"/>
  <c r="AP42" i="7" s="1"/>
  <c r="AS42" i="7" s="1"/>
  <c r="AV42" i="7" s="1"/>
  <c r="AY42" i="7" s="1"/>
  <c r="AM13" i="7"/>
  <c r="AP13" i="7" s="1"/>
  <c r="AS13" i="7" s="1"/>
  <c r="AV13" i="7" s="1"/>
  <c r="AY13" i="7" s="1"/>
  <c r="AP7" i="7"/>
  <c r="AS7" i="7" s="1"/>
  <c r="AV7" i="7" s="1"/>
  <c r="AY7" i="7" s="1"/>
  <c r="AJ4" i="7"/>
  <c r="AM4" i="7" s="1"/>
  <c r="AG32" i="7"/>
  <c r="AJ32" i="7" s="1"/>
  <c r="AA64" i="7"/>
  <c r="AD64" i="7" s="1"/>
  <c r="AS10" i="7"/>
  <c r="AV10" i="7" s="1"/>
  <c r="AY10" i="7" s="1"/>
  <c r="AM39" i="7"/>
  <c r="AP39" i="7" s="1"/>
  <c r="AS39" i="7" s="1"/>
  <c r="AV39" i="7" s="1"/>
  <c r="AY39" i="7" s="1"/>
  <c r="AM62" i="7"/>
  <c r="AP62" i="7" s="1"/>
  <c r="AS62" i="7" s="1"/>
  <c r="AV62" i="7" s="1"/>
  <c r="AY62" i="7" s="1"/>
  <c r="BB60" i="7"/>
  <c r="BE60" i="7" s="1"/>
  <c r="BH60" i="7" s="1"/>
  <c r="CE60" i="7"/>
  <c r="CE46" i="7"/>
  <c r="BE46" i="7"/>
  <c r="BB46" i="7"/>
  <c r="BW46" i="7"/>
  <c r="BZ46" i="7" s="1"/>
  <c r="CC46" i="7"/>
  <c r="AP51" i="7"/>
  <c r="AS51" i="7" s="1"/>
  <c r="AV51" i="7" s="1"/>
  <c r="AY51" i="7" s="1"/>
  <c r="AG17" i="7"/>
  <c r="AM35" i="7"/>
  <c r="AP35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7" i="7"/>
  <c r="AJ23" i="7"/>
  <c r="AG63" i="7"/>
  <c r="AJ63" i="7" s="1"/>
  <c r="AM63" i="7" s="1"/>
  <c r="AP63" i="7" s="1"/>
  <c r="AS63" i="7" s="1"/>
  <c r="AV63" i="7" s="1"/>
  <c r="AY63" i="7" s="1"/>
  <c r="CC60" i="7"/>
  <c r="AG40" i="7"/>
  <c r="AJ40" i="7" s="1"/>
  <c r="AM40" i="7" s="1"/>
  <c r="AP40" i="7" s="1"/>
  <c r="AG57" i="7"/>
  <c r="AJ57" i="7" s="1"/>
  <c r="AM57" i="7" s="1"/>
  <c r="AP57" i="7" s="1"/>
  <c r="AS57" i="7" s="1"/>
  <c r="AV57" i="7" s="1"/>
  <c r="AY57" i="7" s="1"/>
  <c r="AG38" i="7"/>
  <c r="AJ18" i="7"/>
  <c r="AD61" i="7"/>
  <c r="AS45" i="7"/>
  <c r="AV45" i="7" s="1"/>
  <c r="AY45" i="7" s="1"/>
  <c r="AP6" i="7"/>
  <c r="AS6" i="7" s="1"/>
  <c r="AV6" i="7" s="1"/>
  <c r="AY6" i="7" s="1"/>
  <c r="CE6" i="7" s="1"/>
  <c r="AD30" i="7"/>
  <c r="AM67" i="7"/>
  <c r="AG19" i="7"/>
  <c r="AJ59" i="7"/>
  <c r="AM59" i="7" s="1"/>
  <c r="AP59" i="7" s="1"/>
  <c r="AS59" i="7" s="1"/>
  <c r="AV59" i="7" s="1"/>
  <c r="AY59" i="7" s="1"/>
  <c r="AD5" i="7"/>
  <c r="AM28" i="7"/>
  <c r="AP28" i="7" s="1"/>
  <c r="AG33" i="7"/>
  <c r="AG53" i="7"/>
  <c r="AM52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J17" i="7"/>
  <c r="G17" i="7" s="1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4" i="7"/>
  <c r="AJ21" i="7"/>
  <c r="AM25" i="7"/>
  <c r="AP25" i="7" s="1"/>
  <c r="AS25" i="7" s="1"/>
  <c r="AG27" i="7"/>
  <c r="AJ36" i="7"/>
  <c r="AA26" i="7"/>
  <c r="AM58" i="7"/>
  <c r="AM66" i="7"/>
  <c r="AP66" i="7" s="1"/>
  <c r="AS66" i="7" s="1"/>
  <c r="AV66" i="7" s="1"/>
  <c r="AY66" i="7" s="1"/>
  <c r="CE66" i="7" s="1"/>
  <c r="BH46" i="7"/>
  <c r="BK46" i="7" s="1"/>
  <c r="BN46" i="7" s="1"/>
  <c r="BQ46" i="7" s="1"/>
  <c r="BT46" i="7" s="1"/>
  <c r="AG24" i="7"/>
  <c r="AJ24" i="7" s="1"/>
  <c r="AM24" i="7" s="1"/>
  <c r="AP24" i="7" s="1"/>
  <c r="AS24" i="7" s="1"/>
  <c r="AD65" i="7"/>
  <c r="AA56" i="7"/>
  <c r="AA34" i="7"/>
  <c r="AD34" i="7" s="1"/>
  <c r="AD12" i="7"/>
  <c r="G12" i="7" s="1"/>
  <c r="AJ22" i="7"/>
  <c r="AJ68" i="7"/>
  <c r="AP16" i="7" l="1"/>
  <c r="AS16" i="7" s="1"/>
  <c r="G16" i="7"/>
  <c r="AM11" i="7"/>
  <c r="AP11" i="7" s="1"/>
  <c r="AS11" i="7" s="1"/>
  <c r="AV11" i="7" s="1"/>
  <c r="AY11" i="7" s="1"/>
  <c r="G11" i="7"/>
  <c r="AM22" i="7"/>
  <c r="AP22" i="7" s="1"/>
  <c r="AS22" i="7" s="1"/>
  <c r="AV22" i="7" s="1"/>
  <c r="AY22" i="7" s="1"/>
  <c r="G22" i="7"/>
  <c r="AG5" i="7"/>
  <c r="AJ5" i="7" s="1"/>
  <c r="AM5" i="7" s="1"/>
  <c r="AP5" i="7" s="1"/>
  <c r="AS5" i="7" s="1"/>
  <c r="AV5" i="7" s="1"/>
  <c r="AY5" i="7" s="1"/>
  <c r="G5" i="7"/>
  <c r="AV48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54" i="7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7" i="7"/>
  <c r="BB7" i="7"/>
  <c r="BE7" i="7" s="1"/>
  <c r="BH7" i="7" s="1"/>
  <c r="BK7" i="7" s="1"/>
  <c r="BN7" i="7" s="1"/>
  <c r="BQ7" i="7" s="1"/>
  <c r="BT7" i="7" s="1"/>
  <c r="BW7" i="7" s="1"/>
  <c r="BZ7" i="7" s="1"/>
  <c r="CC7" i="7" s="1"/>
  <c r="AM32" i="7"/>
  <c r="AP32" i="7" s="1"/>
  <c r="AG64" i="7"/>
  <c r="AJ64" i="7" s="1"/>
  <c r="AM64" i="7" s="1"/>
  <c r="AP64" i="7" s="1"/>
  <c r="AS64" i="7" s="1"/>
  <c r="AV64" i="7" s="1"/>
  <c r="AY64" i="7" s="1"/>
  <c r="CE64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35" i="7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AP67" i="7"/>
  <c r="AS67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65" i="7"/>
  <c r="AJ27" i="7"/>
  <c r="AJ44" i="7"/>
  <c r="AM44" i="7" s="1"/>
  <c r="AP44" i="7" s="1"/>
  <c r="AS44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26" i="7"/>
  <c r="AG26" i="7" s="1"/>
  <c r="AJ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52" i="7"/>
  <c r="AS52" i="7" s="1"/>
  <c r="AV52" i="7" s="1"/>
  <c r="AY52" i="7" s="1"/>
  <c r="CE52" i="7" s="1"/>
  <c r="AJ53" i="7"/>
  <c r="AS40" i="7"/>
  <c r="AV40" i="7" s="1"/>
  <c r="AY40" i="7" s="1"/>
  <c r="CE40" i="7" s="1"/>
  <c r="BH41" i="7"/>
  <c r="BK41" i="7" s="1"/>
  <c r="BN41" i="7" s="1"/>
  <c r="BQ41" i="7" s="1"/>
  <c r="BT41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17" i="7"/>
  <c r="AP17" i="7" s="1"/>
  <c r="AS17" i="7" s="1"/>
  <c r="AV17" i="7" s="1"/>
  <c r="AY17" i="7" s="1"/>
  <c r="AP4" i="7"/>
  <c r="AS4" i="7" s="1"/>
  <c r="AV4" i="7" s="1"/>
  <c r="AY4" i="7" s="1"/>
  <c r="CE4" i="7" s="1"/>
  <c r="BK66" i="7"/>
  <c r="BN66" i="7" s="1"/>
  <c r="BQ66" i="7" s="1"/>
  <c r="BT66" i="7" s="1"/>
  <c r="BW66" i="7" s="1"/>
  <c r="BZ66" i="7" s="1"/>
  <c r="CC66" i="7" s="1"/>
  <c r="AM21" i="7"/>
  <c r="AP21" i="7" s="1"/>
  <c r="AS21" i="7" s="1"/>
  <c r="AV21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AM68" i="7"/>
  <c r="CE11" i="7" l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AM27" i="7"/>
  <c r="AP27" i="7" s="1"/>
  <c r="AS27" i="7" s="1"/>
  <c r="AV27" i="7" s="1"/>
  <c r="AY27" i="7" s="1"/>
  <c r="G27" i="7"/>
  <c r="AM26" i="7"/>
  <c r="AP26" i="7" s="1"/>
  <c r="AS26" i="7" s="1"/>
  <c r="AV26" i="7" s="1"/>
  <c r="AY26" i="7" s="1"/>
  <c r="G26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2" i="7"/>
  <c r="CE5" i="7"/>
  <c r="BB5" i="7"/>
  <c r="BE5" i="7" s="1"/>
  <c r="BH5" i="7" s="1"/>
  <c r="BK5" i="7" s="1"/>
  <c r="BN5" i="7" s="1"/>
  <c r="BQ5" i="7" s="1"/>
  <c r="BT5" i="7" s="1"/>
  <c r="BW5" i="7" s="1"/>
  <c r="BZ5" i="7" s="1"/>
  <c r="CC5" i="7" s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Y48" i="7"/>
  <c r="BB48" i="7" s="1"/>
  <c r="BE48" i="7" s="1"/>
  <c r="BH48" i="7" s="1"/>
  <c r="BK48" i="7" s="1"/>
  <c r="BN48" i="7" s="1"/>
  <c r="BQ48" i="7" s="1"/>
  <c r="BW41" i="7"/>
  <c r="BZ41" i="7" s="1"/>
  <c r="CC41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S32" i="7"/>
  <c r="AV32" i="7" s="1"/>
  <c r="AY32" i="7" s="1"/>
  <c r="CE28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B52" i="7"/>
  <c r="BE52" i="7" s="1"/>
  <c r="BH52" i="7" s="1"/>
  <c r="BK52" i="7" s="1"/>
  <c r="BN52" i="7" s="1"/>
  <c r="BQ52" i="7" s="1"/>
  <c r="BZ52" i="7"/>
  <c r="CC52" i="7" s="1"/>
  <c r="BT52" i="7"/>
  <c r="BW52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7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4" i="7"/>
  <c r="AY44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65" i="7"/>
  <c r="AM65" i="7" s="1"/>
  <c r="AP65" i="7" s="1"/>
  <c r="AS65" i="7" s="1"/>
  <c r="AV65" i="7" s="1"/>
  <c r="AY65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53" i="7"/>
  <c r="AP53" i="7" s="1"/>
  <c r="AS53" i="7" s="1"/>
  <c r="AV53" i="7" s="1"/>
  <c r="AY53" i="7" s="1"/>
  <c r="BB4" i="7"/>
  <c r="BE4" i="7" s="1"/>
  <c r="BH4" i="7" s="1"/>
  <c r="BK4" i="7" s="1"/>
  <c r="BN4" i="7" s="1"/>
  <c r="BQ4" i="7" s="1"/>
  <c r="BT4" i="7" s="1"/>
  <c r="BW4" i="7" s="1"/>
  <c r="BZ4" i="7" s="1"/>
  <c r="CC4" i="7" s="1"/>
  <c r="AP68" i="7"/>
  <c r="AS68" i="7" s="1"/>
  <c r="AV68" i="7" s="1"/>
  <c r="BB27" i="7" l="1"/>
  <c r="BE27" i="7" s="1"/>
  <c r="BH27" i="7" s="1"/>
  <c r="BK27" i="7" s="1"/>
  <c r="BN27" i="7" s="1"/>
  <c r="BQ27" i="7" s="1"/>
  <c r="BT27" i="7" s="1"/>
  <c r="BW27" i="7" s="1"/>
  <c r="BZ27" i="7" s="1"/>
  <c r="CC27" i="7" s="1"/>
  <c r="CE27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BT48" i="7"/>
  <c r="BW48" i="7" s="1"/>
  <c r="BZ48" i="7" s="1"/>
  <c r="CC48" i="7" s="1"/>
  <c r="CE48" i="7"/>
  <c r="CE4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AY34" i="7"/>
  <c r="CE34" i="7" s="1"/>
  <c r="CE30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8" i="7"/>
  <c r="AY68" i="7"/>
  <c r="BT68" i="7" s="1"/>
  <c r="BW68" i="7" s="1"/>
  <c r="BZ68" i="7" s="1"/>
  <c r="CC68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G1" i="7"/>
  <c r="E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D2" i="6" l="1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4" i="7"/>
  <c r="BD74" i="7"/>
  <c r="G9" i="6"/>
  <c r="C8" i="6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25" i="9" l="1"/>
  <c r="N7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74" i="7"/>
  <c r="F31" i="8"/>
  <c r="W74" i="7"/>
  <c r="T74" i="7"/>
  <c r="F37" i="8"/>
  <c r="F35" i="8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L8" i="6" l="1"/>
  <c r="L11" i="6"/>
  <c r="L10" i="6"/>
  <c r="L9" i="6"/>
  <c r="F25" i="8"/>
  <c r="G36" i="8"/>
  <c r="G37" i="8"/>
  <c r="G35" i="8"/>
  <c r="G31" i="8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M6" i="6"/>
  <c r="L22" i="6"/>
  <c r="L24" i="6"/>
  <c r="L20" i="6"/>
  <c r="L15" i="6"/>
  <c r="L14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S11" i="6" l="1"/>
  <c r="S10" i="6"/>
  <c r="S9" i="6"/>
  <c r="S8" i="6"/>
  <c r="H25" i="8"/>
  <c r="H37" i="8"/>
  <c r="H36" i="8"/>
  <c r="H31" i="8"/>
  <c r="H35" i="8"/>
  <c r="H28" i="8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7" i="6"/>
  <c r="S13" i="6"/>
  <c r="S15" i="6"/>
  <c r="S16" i="6"/>
  <c r="S22" i="6"/>
  <c r="S23" i="6"/>
  <c r="S20" i="6"/>
  <c r="S12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K36" i="8" l="1"/>
  <c r="K35" i="8"/>
  <c r="K37" i="8"/>
  <c r="K31" i="8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36" i="8"/>
  <c r="L28" i="8" l="1"/>
  <c r="AR74" i="7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4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32" i="8" l="1"/>
  <c r="Q27" i="8"/>
  <c r="Q28" i="8" s="1"/>
  <c r="Q25" i="8"/>
  <c r="Q29" i="8" s="1"/>
  <c r="Q32" i="8"/>
  <c r="BH74" i="7"/>
  <c r="BK74" i="7" l="1"/>
  <c r="BN74" i="7" l="1"/>
  <c r="BQ74" i="7" l="1"/>
  <c r="BT74" i="7" l="1"/>
  <c r="BW74" i="7" l="1"/>
  <c r="BZ74" i="7" l="1"/>
  <c r="CC74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<sst xmlns="http://schemas.openxmlformats.org/spreadsheetml/2006/main" count="552" uniqueCount="163">
  <si>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</si>
  <si>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</si>
  <si>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</si>
  <si>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</si>
  <si>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</si>
  <si>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</si>
  <si>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</si>
  <si>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</si>
  <si>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</si>
  <si>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</si>
  <si>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</si>
  <si>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</si>
  <si>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</si>
  <si>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</si>
  <si>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</si>
  <si>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</si>
  <si>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</si>
  <si>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</si>
  <si>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</si>
  <si>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</si>
  <si>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</si>
  <si>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</si>
  <si>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</si>
  <si>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</si>
  <si>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</si>
  <si>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</si>
  <si>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</si>
  <si>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</si>
  <si>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</si>
  <si>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</si>
  <si>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</si>
  <si>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</si>
  <si>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</si>
  <si>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</si>
  <si>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</si>
  <si>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</si>
  <si>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</si>
  <si>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</si>
  <si>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</si>
  <si>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</si>
  <si>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</si>
  <si>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</si>
  <si>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</si>
  <si>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</si>
  <si>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</si>
  <si>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</si>
  <si>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</si>
  <si>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</si>
  <si>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</si>
  <si>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</si>
  <si>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</si>
  <si>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</si>
  <si>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</si>
  <si>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</si>
  <si>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</si>
  <si>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</si>
  <si>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</si>
  <si>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</si>
  <si>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</si>
  <si>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</si>
  <si>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</si>
  <si>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</si>
  <si>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</si>
  <si>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</si>
  <si>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</si>
  <si>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</si>
  <si>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</si>
  <si>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</si>
  <si>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</si>
  <si>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</si>
  <si>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</si>
  <si>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</si>
  <si>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</si>
  <si>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</si>
  <si>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</si>
  <si>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</si>
  <si>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</si>
  <si>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</si>
  <si>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</si>
  <si>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</si>
  <si>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</si>
  <si>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</si>
  <si>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</si>
  <si>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</si>
  <si>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</si>
  <si>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</si>
  <si>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</si>
  <si>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</si>
  <si>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</si>
  <si>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</si>
  <si>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</si>
  <si>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</si>
  <si>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</si>
  <si>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</si>
  <si>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</si>
  <si>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</si>
  <si>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</si>
  <si>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</si>
  <si>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</si>
  <si>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</si>
  <si>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</si>
  <si>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</si>
  <si>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</si>
  <si>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</si>
  <si>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</si>
  <si>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Functional Breakdown</t>
  </si>
  <si>
    <t>Documentation</t>
  </si>
  <si>
    <t>Testing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</si>
  <si>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</si>
  <si>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</si>
  <si>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</si>
  <si>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</si>
  <si>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</si>
  <si>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</si>
  <si>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</si>
  <si>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</si>
  <si>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</si>
  <si>
    <t>Agnes</t>
  </si>
  <si>
    <t>Coen</t>
  </si>
  <si>
    <t>Wen</t>
  </si>
  <si>
    <t>Yongshi</t>
  </si>
  <si>
    <t>Programming</t>
  </si>
  <si>
    <t>Review</t>
  </si>
  <si>
    <t>Presentation layer</t>
  </si>
  <si>
    <t>Bussiness layer</t>
  </si>
  <si>
    <t>Data layer</t>
  </si>
  <si>
    <t>Common layer</t>
  </si>
  <si>
    <t>Launcher layer</t>
  </si>
  <si>
    <t>Reviewing</t>
  </si>
  <si>
    <t>General</t>
  </si>
  <si>
    <t>R01</t>
  </si>
  <si>
    <t>Common layer coding</t>
  </si>
  <si>
    <t>Common layer review</t>
  </si>
  <si>
    <t>Data layer coding</t>
  </si>
  <si>
    <t>Data layer review</t>
  </si>
  <si>
    <t>Data layer unit test</t>
  </si>
  <si>
    <t>Launcher layer coding</t>
  </si>
  <si>
    <t>Launcher layer review</t>
  </si>
  <si>
    <t>Gridmodel coding</t>
  </si>
  <si>
    <t>Gridmodel unit test</t>
  </si>
  <si>
    <t>Gridmodel review</t>
  </si>
  <si>
    <t>Simulator timer</t>
  </si>
  <si>
    <t>Simulator traffic light</t>
  </si>
  <si>
    <t>Simulator traffic light unit test</t>
  </si>
  <si>
    <t>Simulator traffic light review</t>
  </si>
  <si>
    <t>Simulator car</t>
  </si>
  <si>
    <t>Simulator car unit test</t>
  </si>
  <si>
    <t>Simulator car review</t>
  </si>
  <si>
    <t>Simulation pedestrian</t>
  </si>
  <si>
    <t>Simulation pedestrian unit test</t>
  </si>
  <si>
    <t xml:space="preserve">Simulation pedestrian review </t>
  </si>
  <si>
    <t>Prestudy</t>
  </si>
  <si>
    <t>Prestudy WPF + MVVM</t>
  </si>
  <si>
    <t>Designing UI</t>
  </si>
  <si>
    <t>ViewModels in C#</t>
  </si>
  <si>
    <t>ViewModels in View</t>
  </si>
  <si>
    <t>UserControls for Components, cars, pedestrians</t>
  </si>
  <si>
    <t>ViewModels in View review</t>
  </si>
  <si>
    <t>UserControls for Components, cars, pedestrians review</t>
  </si>
  <si>
    <t>General MainWindow</t>
  </si>
  <si>
    <t>Resize grid window</t>
  </si>
  <si>
    <t>Traffic light window</t>
  </si>
  <si>
    <t>Review Presentation 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</si>
</sst>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标题 1" xfId="32" builtinId="16" customBuiltin="1"/>
    <cellStyle name="标题 2" xfId="33" builtinId="17" customBuiltin="1"/>
    <cellStyle name="标题 3" xfId="34" builtinId="18" customBuiltin="1"/>
    <cellStyle name="标题 4" xfId="35" builtinId="19" customBuiltin="1"/>
    <cellStyle name="差" xfId="25" builtinId="27" customBuiltin="1"/>
    <cellStyle name="常规" xfId="0" builtinId="0"/>
    <cellStyle name="超链接" xfId="36" builtinId="8"/>
    <cellStyle name="好" xfId="31" builtinId="26" customBuiltin="1"/>
    <cellStyle name="汇总" xfId="43" builtinId="25" customBuiltin="1"/>
    <cellStyle name="计算" xfId="26" builtinId="22" customBuiltin="1"/>
    <cellStyle name="检查单元格" xfId="27" builtinId="23" customBuiltin="1"/>
    <cellStyle name="警告文本" xfId="44" builtinId="11" customBuiltin="1"/>
    <cellStyle name="链接单元格" xfId="38" builtinId="24" customBuiltin="1"/>
    <cellStyle name="适中" xfId="39" builtinId="28" customBuiltin="1"/>
    <cellStyle name="输出" xfId="41" builtinId="21" customBuiltin="1"/>
    <cellStyle name="输入" xfId="37" builtinId="20" customBuiltin="1"/>
    <cellStyle name="着色 1" xfId="1" builtinId="29" customBuiltin="1"/>
    <cellStyle name="着色 2" xfId="5" builtinId="33" customBuiltin="1"/>
    <cellStyle name="着色 3" xfId="9" builtinId="37" customBuiltin="1"/>
    <cellStyle name="着色 4" xfId="13" builtinId="41" customBuiltin="1"/>
    <cellStyle name="着色 5" xfId="17" builtinId="45" customBuiltin="1"/>
    <cellStyle name="着色 6" xfId="21" builtinId="49" customBuiltin="1"/>
    <cellStyle name="注释" xfId="40" builtinId="10" customBuiltin="1"/>
  </cellStyles>
  <dxfs count="96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11</c:v>
                </c:pt>
                <c:pt idx="7">
                  <c:v>11</c:v>
                </c:pt>
                <c:pt idx="8">
                  <c:v>13</c:v>
                </c:pt>
                <c:pt idx="9">
                  <c:v>13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A69-A054-2DB04FAB8D55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2-4A69-A054-2DB04FAB8D55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65</c:v>
                </c:pt>
                <c:pt idx="1">
                  <c:v>59</c:v>
                </c:pt>
                <c:pt idx="2">
                  <c:v>58</c:v>
                </c:pt>
                <c:pt idx="3">
                  <c:v>58</c:v>
                </c:pt>
                <c:pt idx="4">
                  <c:v>57</c:v>
                </c:pt>
                <c:pt idx="5">
                  <c:v>57</c:v>
                </c:pt>
                <c:pt idx="6">
                  <c:v>54</c:v>
                </c:pt>
                <c:pt idx="7">
                  <c:v>54</c:v>
                </c:pt>
                <c:pt idx="8">
                  <c:v>47</c:v>
                </c:pt>
                <c:pt idx="9">
                  <c:v>47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22-4A69-A054-2DB04FAB8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8.5</c:v>
                </c:pt>
                <c:pt idx="2">
                  <c:v>8.5</c:v>
                </c:pt>
                <c:pt idx="3">
                  <c:v>8.5</c:v>
                </c:pt>
                <c:pt idx="4">
                  <c:v>10.5</c:v>
                </c:pt>
                <c:pt idx="5">
                  <c:v>13.5</c:v>
                </c:pt>
                <c:pt idx="6">
                  <c:v>17.5</c:v>
                </c:pt>
                <c:pt idx="7">
                  <c:v>17.5</c:v>
                </c:pt>
                <c:pt idx="8">
                  <c:v>21.5</c:v>
                </c:pt>
                <c:pt idx="9">
                  <c:v>21.5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3-4402-9655-32CCECBC9499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3-4402-9655-32CCECBC9499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436</c:v>
                </c:pt>
                <c:pt idx="1">
                  <c:v>419</c:v>
                </c:pt>
                <c:pt idx="2">
                  <c:v>416</c:v>
                </c:pt>
                <c:pt idx="3">
                  <c:v>416</c:v>
                </c:pt>
                <c:pt idx="4">
                  <c:v>414</c:v>
                </c:pt>
                <c:pt idx="5">
                  <c:v>414</c:v>
                </c:pt>
                <c:pt idx="6">
                  <c:v>410</c:v>
                </c:pt>
                <c:pt idx="7">
                  <c:v>410</c:v>
                </c:pt>
                <c:pt idx="8">
                  <c:v>362</c:v>
                </c:pt>
                <c:pt idx="9">
                  <c:v>362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436</c:v>
                </c:pt>
                <c:pt idx="1">
                  <c:v>419</c:v>
                </c:pt>
                <c:pt idx="2">
                  <c:v>418</c:v>
                </c:pt>
                <c:pt idx="3">
                  <c:v>418</c:v>
                </c:pt>
                <c:pt idx="4">
                  <c:v>415</c:v>
                </c:pt>
                <c:pt idx="5">
                  <c:v>414</c:v>
                </c:pt>
                <c:pt idx="6">
                  <c:v>410</c:v>
                </c:pt>
                <c:pt idx="7">
                  <c:v>410</c:v>
                </c:pt>
                <c:pt idx="8">
                  <c:v>373</c:v>
                </c:pt>
                <c:pt idx="9">
                  <c:v>373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C3-4402-9655-32CCECBC9499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8.5</c:v>
                </c:pt>
                <c:pt idx="2">
                  <c:v>9.5</c:v>
                </c:pt>
                <c:pt idx="3">
                  <c:v>9.5</c:v>
                </c:pt>
                <c:pt idx="4">
                  <c:v>12.5</c:v>
                </c:pt>
                <c:pt idx="5">
                  <c:v>13.5</c:v>
                </c:pt>
                <c:pt idx="6">
                  <c:v>17.5</c:v>
                </c:pt>
                <c:pt idx="7">
                  <c:v>17.5</c:v>
                </c:pt>
                <c:pt idx="8">
                  <c:v>35.5</c:v>
                </c:pt>
                <c:pt idx="9">
                  <c:v>35.5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Programming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2-4419-9CE6-B09C2D797D7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2-4419-9CE6-B09C2D797D7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Review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2-4419-9CE6-B09C2D797D7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Prestudy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E2-4419-9CE6-B09C2D797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Presentation layer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76-4320-940F-5D9C20258E92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Bussiness layer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76-4320-940F-5D9C20258E92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Data layer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76-4320-940F-5D9C20258E92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Common layer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76-4320-940F-5D9C20258E92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Launcher layer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76-4320-940F-5D9C20258E92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76-4320-940F-5D9C20258E92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Reviewing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76-4320-940F-5D9C20258E92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76-4320-940F-5D9C20258E92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General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76-4320-940F-5D9C20258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  <c:extLst>
          <c:ext xmlns:c15="http://schemas.microsoft.com/office/drawing/2012/chart" uri="{02D57815-91ED-43cb-92C2-25804820EDAC}">
            <c15:filteredBar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'Project Specific Reports'!$A$18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'Project Specific Reports'!$B$18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7176-4320-940F-5D9C20258E9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Reports'!$B$19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176-4320-940F-5D9C20258E9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176-4320-940F-5D9C20258E92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176-4320-940F-5D9C20258E92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176-4320-940F-5D9C20258E92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176-4320-940F-5D9C20258E92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176-4320-940F-5D9C20258E92}"/>
                  </c:ext>
                </c:extLst>
              </c15:ser>
            </c15:filteredBarSeries>
          </c:ext>
        </c:extLst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5-4E6D-8D53-1BD831107EBA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5-4E6D-8D53-1BD831107EBA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5-4E6D-8D53-1BD831107EBA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5-4E6D-8D53-1BD831107EBA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B5-4E6D-8D53-1BD831107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1174750</xdr:colOff>
          <xdr:row>1</xdr:row>
          <xdr:rowOff>12700</xdr:rowOff>
        </xdr:from>
        <xdr:to>
          <xdr:col>4</xdr:col>
          <xdr:colOff>2413000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12700</xdr:rowOff>
        </xdr:from>
        <xdr:to>
          <xdr:col>4</xdr:col>
          <xdr:colOff>1098550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tabSelected="1" workbookViewId="0">
      <pane xSplit="8" ySplit="3" topLeftCell="AD19" activePane="bottomRight" state="frozen"/>
      <selection pane="topRight" activeCell="F1" sqref="F1"/>
      <selection pane="bottomLeft" activeCell="A3" sqref="A3"/>
      <selection pane="bottomRight" activeCell="AI19" sqref="AI19"/>
    </sheetView>
  </sheetViews>
  <sheetFormatPr defaultColWidth="9.1796875" defaultRowHeight="12.5" outlineLevelCol="1" x14ac:dyDescent="0.25"/>
  <cols>
    <col min="1" max="1" width="12.1796875" style="6" customWidth="1"/>
    <col min="2" max="2" width="16.54296875" style="6" bestFit="1" customWidth="1"/>
    <col min="3" max="3" width="12.1796875" style="6" customWidth="1"/>
    <col min="4" max="4" width="6" style="6" customWidth="1"/>
    <col min="5" max="5" width="46.1796875" style="6" customWidth="1"/>
    <col min="6" max="6" width="9" style="6" bestFit="1" customWidth="1"/>
    <col min="7" max="7" width="7" style="6" customWidth="1"/>
    <col min="8" max="8" width="5.26953125" style="6" bestFit="1" customWidth="1"/>
    <col min="9" max="9" width="4.26953125" style="6" customWidth="1"/>
    <col min="10" max="11" width="3.26953125" style="159" customWidth="1"/>
    <col min="12" max="12" width="2.453125" style="6" customWidth="1"/>
    <col min="13" max="14" width="3.26953125" style="6" customWidth="1"/>
    <col min="15" max="15" width="2.453125" style="6" customWidth="1"/>
    <col min="16" max="17" width="3.26953125" style="6" customWidth="1"/>
    <col min="18" max="18" width="2.453125" style="6" customWidth="1"/>
    <col min="19" max="20" width="3.26953125" style="6" customWidth="1"/>
    <col min="21" max="21" width="2.453125" style="6" customWidth="1"/>
    <col min="22" max="23" width="3.26953125" style="6" customWidth="1"/>
    <col min="24" max="24" width="2.453125" style="6" customWidth="1"/>
    <col min="25" max="26" width="3.26953125" style="6" customWidth="1"/>
    <col min="27" max="27" width="2.453125" style="6" customWidth="1"/>
    <col min="28" max="29" width="3.26953125" style="6" customWidth="1"/>
    <col min="30" max="30" width="2.453125" style="6" customWidth="1"/>
    <col min="31" max="32" width="3.26953125" style="6" customWidth="1"/>
    <col min="33" max="33" width="2.453125" style="6" customWidth="1"/>
    <col min="34" max="35" width="3.26953125" style="6" customWidth="1"/>
    <col min="36" max="36" width="2.453125" style="6" customWidth="1"/>
    <col min="37" max="38" width="3.26953125" style="6" customWidth="1"/>
    <col min="39" max="39" width="2.453125" style="6" customWidth="1"/>
    <col min="40" max="41" width="3.26953125" style="6" customWidth="1"/>
    <col min="42" max="42" width="2.453125" style="6" customWidth="1"/>
    <col min="43" max="44" width="3.26953125" style="6" customWidth="1"/>
    <col min="45" max="45" width="2.453125" style="6" customWidth="1"/>
    <col min="46" max="47" width="3.26953125" style="6" customWidth="1"/>
    <col min="48" max="48" width="2.453125" style="6" customWidth="1"/>
    <col min="49" max="50" width="3.26953125" style="6" customWidth="1"/>
    <col min="51" max="51" width="2.453125" style="6" customWidth="1"/>
    <col min="52" max="53" width="3.26953125" style="6" hidden="1" customWidth="1" outlineLevel="1"/>
    <col min="54" max="54" width="2.453125" style="6" hidden="1" customWidth="1" outlineLevel="1"/>
    <col min="55" max="56" width="3.26953125" style="6" hidden="1" customWidth="1" outlineLevel="1"/>
    <col min="57" max="57" width="2.453125" style="6" hidden="1" customWidth="1" outlineLevel="1"/>
    <col min="58" max="59" width="3.26953125" style="6" hidden="1" customWidth="1" outlineLevel="1"/>
    <col min="60" max="60" width="2.453125" style="6" hidden="1" customWidth="1" outlineLevel="1"/>
    <col min="61" max="62" width="3.26953125" style="6" hidden="1" customWidth="1" outlineLevel="1"/>
    <col min="63" max="63" width="2.453125" style="6" hidden="1" customWidth="1" outlineLevel="1"/>
    <col min="64" max="65" width="3.26953125" style="6" hidden="1" customWidth="1" outlineLevel="1"/>
    <col min="66" max="66" width="2.453125" style="6" hidden="1" customWidth="1" outlineLevel="1"/>
    <col min="67" max="68" width="3.26953125" style="6" hidden="1" customWidth="1" outlineLevel="1"/>
    <col min="69" max="69" width="2.453125" style="6" hidden="1" customWidth="1" outlineLevel="1"/>
    <col min="70" max="71" width="3.26953125" style="6" hidden="1" customWidth="1" outlineLevel="1"/>
    <col min="72" max="72" width="2.453125" style="6" hidden="1" customWidth="1" outlineLevel="1"/>
    <col min="73" max="74" width="3.26953125" style="6" hidden="1" customWidth="1" outlineLevel="1"/>
    <col min="75" max="75" width="2.453125" style="6" hidden="1" customWidth="1" outlineLevel="1"/>
    <col min="76" max="77" width="3.26953125" style="6" hidden="1" customWidth="1" outlineLevel="1"/>
    <col min="78" max="78" width="2.453125" style="6" hidden="1" customWidth="1" outlineLevel="1"/>
    <col min="79" max="80" width="3.26953125" style="6" hidden="1" customWidth="1" outlineLevel="1"/>
    <col min="81" max="81" width="2.453125" style="6" hidden="1" customWidth="1" outlineLevel="1"/>
    <col min="82" max="82" width="2.453125" style="6" customWidth="1" collapsed="1"/>
    <col min="83" max="83" width="8.1796875" style="6" customWidth="1"/>
    <col min="84" max="16384" width="9.1796875" style="6"/>
  </cols>
  <sheetData>
    <row r="1" spans="1:83" x14ac:dyDescent="0.25">
      <c r="A1" s="1"/>
      <c r="B1" s="1"/>
      <c r="C1" s="1"/>
      <c r="D1" s="1"/>
      <c r="E1" s="2"/>
      <c r="F1" s="3" t="s">
        <v>23</v>
      </c>
      <c r="G1" s="4">
        <f>SprintStart</f>
        <v>42485</v>
      </c>
      <c r="H1" s="1"/>
      <c r="I1" s="1"/>
      <c r="J1" s="188">
        <f>SprintStart</f>
        <v>42485</v>
      </c>
      <c r="K1" s="188"/>
      <c r="L1" s="188"/>
      <c r="M1" s="188">
        <f>IF(AND(SkipWeekends, WEEKDAY(J1)=6),J1+3, J1+1)</f>
        <v>42486</v>
      </c>
      <c r="N1" s="188"/>
      <c r="O1" s="188"/>
      <c r="P1" s="188">
        <f>IF(AND(SkipWeekends, WEEKDAY(M1)=6),M1+3, M1+1)</f>
        <v>42487</v>
      </c>
      <c r="Q1" s="188"/>
      <c r="R1" s="188"/>
      <c r="S1" s="188">
        <f>IF(AND(SkipWeekends, WEEKDAY(P1)=6),P1+3, P1+1)</f>
        <v>42488</v>
      </c>
      <c r="T1" s="188"/>
      <c r="U1" s="188"/>
      <c r="V1" s="188">
        <f>IF(AND(SkipWeekends, WEEKDAY(S1)=6),S1+3, S1+1)</f>
        <v>42489</v>
      </c>
      <c r="W1" s="188"/>
      <c r="X1" s="188"/>
      <c r="Y1" s="188">
        <f>IF(AND(SkipWeekends, WEEKDAY(V1)=6),V1+3, V1+1)</f>
        <v>42490</v>
      </c>
      <c r="Z1" s="188"/>
      <c r="AA1" s="188"/>
      <c r="AB1" s="188">
        <f>IF(AND(SkipWeekends, WEEKDAY(Y1)=6),Y1+3, Y1+1)</f>
        <v>42491</v>
      </c>
      <c r="AC1" s="188"/>
      <c r="AD1" s="188"/>
      <c r="AE1" s="188">
        <f>IF(AND(SkipWeekends, WEEKDAY(AB1)=6),AB1+3, AB1+1)</f>
        <v>42492</v>
      </c>
      <c r="AF1" s="188"/>
      <c r="AG1" s="188"/>
      <c r="AH1" s="188">
        <f>IF(AND(SkipWeekends, WEEKDAY(AE1)=6),AE1+3, AE1+1)</f>
        <v>42493</v>
      </c>
      <c r="AI1" s="188"/>
      <c r="AJ1" s="188"/>
      <c r="AK1" s="188">
        <f>IF(AND(SkipWeekends, WEEKDAY(AH1)=6),AH1+3, AH1+1)</f>
        <v>42494</v>
      </c>
      <c r="AL1" s="188"/>
      <c r="AM1" s="188"/>
      <c r="AN1" s="188">
        <f>IF(AND(SkipWeekends, WEEKDAY(AK1)=6),AK1+3, AK1+1)</f>
        <v>42495</v>
      </c>
      <c r="AO1" s="188"/>
      <c r="AP1" s="188"/>
      <c r="AQ1" s="188">
        <f>IF(AND(SkipWeekends, WEEKDAY(AN1)=6),AN1+3, AN1+1)</f>
        <v>42496</v>
      </c>
      <c r="AR1" s="188"/>
      <c r="AS1" s="188"/>
      <c r="AT1" s="188">
        <f>IF(AND(SkipWeekends, WEEKDAY(AQ1)=6),AQ1+3, AQ1+1)</f>
        <v>42497</v>
      </c>
      <c r="AU1" s="188"/>
      <c r="AV1" s="188"/>
      <c r="AW1" s="188">
        <f>IF(AND(SkipWeekends, WEEKDAY(AT1)=6),AT1+3, AT1+1)</f>
        <v>42498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25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5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5">
      <c r="A4" s="16" t="s">
        <v>121</v>
      </c>
      <c r="B4" s="16" t="s">
        <v>126</v>
      </c>
      <c r="C4" s="16" t="s">
        <v>130</v>
      </c>
      <c r="D4" s="17">
        <v>1</v>
      </c>
      <c r="E4" s="178" t="s">
        <v>131</v>
      </c>
      <c r="F4" s="18" t="s">
        <v>117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3</v>
      </c>
      <c r="J4" s="22">
        <v>0</v>
      </c>
      <c r="K4" s="22">
        <f t="shared" ref="K4:K67" si="1">MAX(I4-J4, 0)</f>
        <v>3</v>
      </c>
      <c r="L4" s="23" t="str">
        <f>IF(SUMPRODUCT($J$71:K$71,$J4:K4)&lt;0.5, "Pending", IF(K4&lt;0.5, "Complete", "In Progress"))</f>
        <v>Pending</v>
      </c>
      <c r="M4" s="22">
        <v>1.5</v>
      </c>
      <c r="N4" s="22"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:Q67" si="2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:T67" si="3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:W67" si="4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:Z67" si="5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:AC67" si="6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:AF67" si="7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:AI67" si="8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:AL67" si="9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:AO67" si="10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:AR67" si="11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:AU67" si="12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:AX67" si="13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:BD67" si="14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:BG67" si="15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:BJ67" si="16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:BM67" si="17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:BP67" si="18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:BS67" si="19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:BV67" si="20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:BY67" si="21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:CB67" si="22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1.5</v>
      </c>
    </row>
    <row r="5" spans="1:83" x14ac:dyDescent="0.25">
      <c r="A5" s="16" t="s">
        <v>122</v>
      </c>
      <c r="B5" s="16" t="s">
        <v>126</v>
      </c>
      <c r="C5" s="16" t="s">
        <v>130</v>
      </c>
      <c r="D5" s="17">
        <v>1</v>
      </c>
      <c r="E5" s="178" t="s">
        <v>132</v>
      </c>
      <c r="F5" s="18" t="s">
        <v>118</v>
      </c>
      <c r="G5" s="19" t="str">
        <f t="shared" ca="1" si="0"/>
        <v>Complete</v>
      </c>
      <c r="H5" s="20">
        <v>1</v>
      </c>
      <c r="I5" s="21">
        <v>2</v>
      </c>
      <c r="J5" s="22">
        <v>0</v>
      </c>
      <c r="K5" s="22">
        <f t="shared" si="1"/>
        <v>2</v>
      </c>
      <c r="L5" s="23" t="str">
        <f>IF(SUMPRODUCT($J$71:K$71,$J5:K5)&lt;0.5, "Pending", IF(K5&lt;0.5, "Complete", "In Progress"))</f>
        <v>Pending</v>
      </c>
      <c r="M5" s="22">
        <v>1</v>
      </c>
      <c r="N5" s="22">
        <v>0</v>
      </c>
      <c r="O5" s="23" t="str">
        <f>IF(SUMPRODUCT($J$71:N$71,$J5:N5)&lt;0.5, "Pending", IF(N5&lt;0.5, "Complete", "In Progress"))</f>
        <v>Complete</v>
      </c>
      <c r="P5" s="22">
        <v>0</v>
      </c>
      <c r="Q5" s="22">
        <f t="shared" si="2"/>
        <v>0</v>
      </c>
      <c r="R5" s="23" t="str">
        <f>IF(SUMPRODUCT($J$71:Q$71,$J5:Q5)&lt;0.5, "Pending", IF(Q5&lt;0.5, "Complete", "In Progress"))</f>
        <v>Complete</v>
      </c>
      <c r="S5" s="22">
        <v>0</v>
      </c>
      <c r="T5" s="22">
        <f t="shared" si="3"/>
        <v>0</v>
      </c>
      <c r="U5" s="23" t="str">
        <f>IF(SUMPRODUCT($J$71:T$71,$J5:T5)&lt;0.5, "Pending", IF(T5&lt;0.5, "Complete", "In Progress"))</f>
        <v>Complete</v>
      </c>
      <c r="V5" s="22">
        <v>0</v>
      </c>
      <c r="W5" s="22">
        <f t="shared" si="4"/>
        <v>0</v>
      </c>
      <c r="X5" s="23" t="str">
        <f>IF(SUMPRODUCT($J$71:W$71,$J5:W5)&lt;0.5, "Pending", IF(W5&lt;0.5, "Complete", "In Progress"))</f>
        <v>Complete</v>
      </c>
      <c r="Y5" s="22">
        <v>0</v>
      </c>
      <c r="Z5" s="22">
        <f t="shared" si="5"/>
        <v>0</v>
      </c>
      <c r="AA5" s="23" t="str">
        <f>IF(SUMPRODUCT($J$71:Z$71,$J5:Z5)&lt;0.5, "Pending", IF(Z5&lt;0.5, "Complete", "In Progress"))</f>
        <v>Complete</v>
      </c>
      <c r="AB5" s="22">
        <v>0</v>
      </c>
      <c r="AC5" s="22">
        <f t="shared" si="6"/>
        <v>0</v>
      </c>
      <c r="AD5" s="23" t="str">
        <f>IF(SUMPRODUCT($J$71:AC$71,$J5:AC5)&lt;0.5, "Pending", IF(AC5&lt;0.5, "Complete", "In Progress"))</f>
        <v>Complete</v>
      </c>
      <c r="AE5" s="22">
        <v>0</v>
      </c>
      <c r="AF5" s="22">
        <f t="shared" si="7"/>
        <v>0</v>
      </c>
      <c r="AG5" s="23" t="str">
        <f>IF(SUMPRODUCT($J$71:AF$71,$J5:AF5)&lt;0.5, "Pending", IF(AF5&lt;0.5, "Complete", "In Progress"))</f>
        <v>Complete</v>
      </c>
      <c r="AH5" s="22">
        <v>0</v>
      </c>
      <c r="AI5" s="22">
        <f t="shared" si="8"/>
        <v>0</v>
      </c>
      <c r="AJ5" s="23" t="str">
        <f>IF(SUMPRODUCT($J$71:AI$71,$J5:AI5)&lt;0.5, "Pending", IF(AI5&lt;0.5, "Complete", "In Progress"))</f>
        <v>Complete</v>
      </c>
      <c r="AK5" s="22">
        <v>0</v>
      </c>
      <c r="AL5" s="22">
        <f t="shared" si="9"/>
        <v>0</v>
      </c>
      <c r="AM5" s="23" t="str">
        <f>IF(SUMPRODUCT($J$71:AL$71,$J5:AL5)&lt;0.5, "Pending", IF(AL5&lt;0.5, "Complete", "In Progress"))</f>
        <v>Complete</v>
      </c>
      <c r="AN5" s="22">
        <v>0</v>
      </c>
      <c r="AO5" s="22">
        <f t="shared" si="10"/>
        <v>0</v>
      </c>
      <c r="AP5" s="23" t="str">
        <f>IF(SUMPRODUCT($J$71:AO$71,$J5:AO5)&lt;0.5, "Pending", IF(AO5&lt;0.5, "Complete", "In Progress"))</f>
        <v>Complete</v>
      </c>
      <c r="AQ5" s="22">
        <v>0</v>
      </c>
      <c r="AR5" s="22">
        <f t="shared" si="11"/>
        <v>0</v>
      </c>
      <c r="AS5" s="23" t="str">
        <f>IF(SUMPRODUCT($J$71:AR$71,$J5:AR5)&lt;0.5, "Pending", IF(AR5&lt;0.5, "Complete", "In Progress"))</f>
        <v>Complete</v>
      </c>
      <c r="AT5" s="22">
        <v>0</v>
      </c>
      <c r="AU5" s="22">
        <f t="shared" si="12"/>
        <v>0</v>
      </c>
      <c r="AV5" s="23" t="str">
        <f>IF(SUMPRODUCT($J$71:AU$71,$J5:AU5)&lt;0.5, "Pending", IF(AU5&lt;0.5, "Complete", "In Progress"))</f>
        <v>Complete</v>
      </c>
      <c r="AW5" s="22">
        <v>0</v>
      </c>
      <c r="AX5" s="22">
        <f t="shared" si="13"/>
        <v>0</v>
      </c>
      <c r="AY5" s="23" t="str">
        <f>IF(SUMPRODUCT($J$71:AX$71,$J5:AX5)&lt;0.5,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si="14"/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si="15"/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si="16"/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si="17"/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si="18"/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si="19"/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si="20"/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si="21"/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si="22"/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1</v>
      </c>
    </row>
    <row r="6" spans="1:83" x14ac:dyDescent="0.25">
      <c r="A6" s="16" t="s">
        <v>122</v>
      </c>
      <c r="B6" s="16" t="s">
        <v>126</v>
      </c>
      <c r="C6" s="16" t="s">
        <v>130</v>
      </c>
      <c r="D6" s="17">
        <v>1</v>
      </c>
      <c r="E6" s="178" t="s">
        <v>132</v>
      </c>
      <c r="F6" s="18" t="s">
        <v>117</v>
      </c>
      <c r="G6" s="19" t="str">
        <f t="shared" ca="1" si="0"/>
        <v>Complete</v>
      </c>
      <c r="H6" s="20">
        <v>1</v>
      </c>
      <c r="I6" s="21">
        <v>2</v>
      </c>
      <c r="J6" s="22">
        <v>0</v>
      </c>
      <c r="K6" s="22">
        <f t="shared" si="1"/>
        <v>2</v>
      </c>
      <c r="L6" s="23" t="str">
        <f>IF(SUMPRODUCT($J$71:K$71,$J6:K6)&lt;0.5, "Pending", IF(K6&lt;0.5, "Complete", "In Progress"))</f>
        <v>Pending</v>
      </c>
      <c r="M6" s="22">
        <v>1</v>
      </c>
      <c r="N6" s="22">
        <v>0</v>
      </c>
      <c r="O6" s="23" t="str">
        <f>IF(SUMPRODUCT($J$71:N$71,$J6:N6)&lt;0.5, "Pending", IF(N6&lt;0.5, "Complete", "In Progress"))</f>
        <v>Complete</v>
      </c>
      <c r="P6" s="22">
        <v>0</v>
      </c>
      <c r="Q6" s="22">
        <f t="shared" si="2"/>
        <v>0</v>
      </c>
      <c r="R6" s="23" t="str">
        <f>IF(SUMPRODUCT($J$71:Q$71,$J6:Q6)&lt;0.5, "Pending", IF(Q6&lt;0.5, "Complete", "In Progress"))</f>
        <v>Complete</v>
      </c>
      <c r="S6" s="22">
        <v>0</v>
      </c>
      <c r="T6" s="22">
        <f t="shared" si="3"/>
        <v>0</v>
      </c>
      <c r="U6" s="23" t="str">
        <f>IF(SUMPRODUCT($J$71:T$71,$J6:T6)&lt;0.5, "Pending", IF(T6&lt;0.5, "Complete", "In Progress"))</f>
        <v>Complete</v>
      </c>
      <c r="V6" s="22">
        <v>0</v>
      </c>
      <c r="W6" s="22">
        <f t="shared" si="4"/>
        <v>0</v>
      </c>
      <c r="X6" s="23" t="str">
        <f>IF(SUMPRODUCT($J$71:W$71,$J6:W6)&lt;0.5, "Pending", IF(W6&lt;0.5, "Complete", "In Progress"))</f>
        <v>Complete</v>
      </c>
      <c r="Y6" s="22">
        <v>0</v>
      </c>
      <c r="Z6" s="22">
        <f t="shared" si="5"/>
        <v>0</v>
      </c>
      <c r="AA6" s="23" t="str">
        <f>IF(SUMPRODUCT($J$71:Z$71,$J6:Z6)&lt;0.5, "Pending", IF(Z6&lt;0.5, "Complete", "In Progress"))</f>
        <v>Complete</v>
      </c>
      <c r="AB6" s="22">
        <v>0</v>
      </c>
      <c r="AC6" s="22">
        <f t="shared" si="6"/>
        <v>0</v>
      </c>
      <c r="AD6" s="23" t="str">
        <f>IF(SUMPRODUCT($J$71:AC$71,$J6:AC6)&lt;0.5, "Pending", IF(AC6&lt;0.5, "Complete", "In Progress"))</f>
        <v>Complete</v>
      </c>
      <c r="AE6" s="22">
        <v>0</v>
      </c>
      <c r="AF6" s="22">
        <f t="shared" si="7"/>
        <v>0</v>
      </c>
      <c r="AG6" s="23" t="str">
        <f>IF(SUMPRODUCT($J$71:AF$71,$J6:AF6)&lt;0.5, "Pending", IF(AF6&lt;0.5, "Complete", "In Progress"))</f>
        <v>Complete</v>
      </c>
      <c r="AH6" s="22">
        <v>0</v>
      </c>
      <c r="AI6" s="22">
        <f t="shared" si="8"/>
        <v>0</v>
      </c>
      <c r="AJ6" s="23" t="str">
        <f>IF(SUMPRODUCT($J$71:AI$71,$J6:AI6)&lt;0.5, "Pending", IF(AI6&lt;0.5, "Complete", "In Progress"))</f>
        <v>Complete</v>
      </c>
      <c r="AK6" s="22">
        <v>0</v>
      </c>
      <c r="AL6" s="22">
        <f t="shared" si="9"/>
        <v>0</v>
      </c>
      <c r="AM6" s="23" t="str">
        <f>IF(SUMPRODUCT($J$71:AL$71,$J6:AL6)&lt;0.5, "Pending", IF(AL6&lt;0.5, "Complete", "In Progress"))</f>
        <v>Complete</v>
      </c>
      <c r="AN6" s="22">
        <v>0</v>
      </c>
      <c r="AO6" s="22">
        <f t="shared" si="10"/>
        <v>0</v>
      </c>
      <c r="AP6" s="23" t="str">
        <f>IF(SUMPRODUCT($J$71:AO$71,$J6:AO6)&lt;0.5, "Pending", IF(AO6&lt;0.5, "Complete", "In Progress"))</f>
        <v>Complete</v>
      </c>
      <c r="AQ6" s="22">
        <v>0</v>
      </c>
      <c r="AR6" s="22">
        <f t="shared" si="11"/>
        <v>0</v>
      </c>
      <c r="AS6" s="23" t="str">
        <f>IF(SUMPRODUCT($J$71:AR$71,$J6:AR6)&lt;0.5, "Pending", IF(AR6&lt;0.5, "Complete", "In Progress"))</f>
        <v>Complete</v>
      </c>
      <c r="AT6" s="22">
        <v>0</v>
      </c>
      <c r="AU6" s="22">
        <f t="shared" si="12"/>
        <v>0</v>
      </c>
      <c r="AV6" s="23" t="str">
        <f>IF(SUMPRODUCT($J$71:AU$71,$J6:AU6)&lt;0.5, "Pending", IF(AU6&lt;0.5, "Complete", "In Progress"))</f>
        <v>Complete</v>
      </c>
      <c r="AW6" s="22">
        <v>0</v>
      </c>
      <c r="AX6" s="22">
        <f t="shared" si="13"/>
        <v>0</v>
      </c>
      <c r="AY6" s="23" t="str">
        <f>IF(SUMPRODUCT($J$71:AX$71,$J6:AX6)&lt;0.5,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14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15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16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17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18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19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20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21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22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1</v>
      </c>
    </row>
    <row r="7" spans="1:83" x14ac:dyDescent="0.25">
      <c r="A7" s="16" t="s">
        <v>121</v>
      </c>
      <c r="B7" s="16" t="s">
        <v>125</v>
      </c>
      <c r="C7" s="16" t="s">
        <v>130</v>
      </c>
      <c r="D7" s="17">
        <v>2</v>
      </c>
      <c r="E7" s="178" t="s">
        <v>133</v>
      </c>
      <c r="F7" s="18" t="s">
        <v>119</v>
      </c>
      <c r="G7" s="19" t="s">
        <v>111</v>
      </c>
      <c r="H7" s="20">
        <v>1</v>
      </c>
      <c r="I7" s="21">
        <v>4</v>
      </c>
      <c r="J7" s="22">
        <v>0</v>
      </c>
      <c r="K7" s="22">
        <f t="shared" ref="K7" si="23">MAX(I7-J7, 0)</f>
        <v>4</v>
      </c>
      <c r="L7" s="23" t="str">
        <f>IF(SUMPRODUCT($J$71:K$71,$J7:K7)&lt;0.5, "Pending", IF(K7&lt;0.5, "Complete", "In Progress"))</f>
        <v>Pending</v>
      </c>
      <c r="M7" s="22">
        <v>3</v>
      </c>
      <c r="N7" s="22">
        <v>0</v>
      </c>
      <c r="O7" s="23" t="str">
        <f>IF(SUMPRODUCT($J$71:N$71,$J7:N7)&lt;0.5, "Pending", IF(N7&lt;0.5, "Complete", "In Progress"))</f>
        <v>Complete</v>
      </c>
      <c r="P7" s="22">
        <v>0</v>
      </c>
      <c r="Q7" s="22">
        <f t="shared" ref="Q7" si="24">MAX(N7-P7,0)</f>
        <v>0</v>
      </c>
      <c r="R7" s="23" t="str">
        <f>IF(SUMPRODUCT($J$71:Q$71,$J7:Q7)&lt;0.5, "Pending", IF(Q7&lt;0.5, "Complete", "In Progress"))</f>
        <v>Complete</v>
      </c>
      <c r="S7" s="22">
        <v>0</v>
      </c>
      <c r="T7" s="22">
        <f t="shared" ref="T7" si="25">MAX(Q7-S7,0)</f>
        <v>0</v>
      </c>
      <c r="U7" s="23" t="str">
        <f>IF(SUMPRODUCT($J$71:T$71,$J7:T7)&lt;0.5, "Pending", IF(T7&lt;0.5, "Complete", "In Progress"))</f>
        <v>Complete</v>
      </c>
      <c r="V7" s="22">
        <v>0</v>
      </c>
      <c r="W7" s="22">
        <f t="shared" ref="W7" si="26">MAX(T7-V7,0)</f>
        <v>0</v>
      </c>
      <c r="X7" s="23" t="str">
        <f>IF(SUMPRODUCT($J$71:W$71,$J7:W7)&lt;0.5, "Pending", IF(W7&lt;0.5, "Complete", "In Progress"))</f>
        <v>Complete</v>
      </c>
      <c r="Y7" s="22">
        <v>0</v>
      </c>
      <c r="Z7" s="22">
        <f t="shared" ref="Z7" si="27">MAX(W7-Y7,0)</f>
        <v>0</v>
      </c>
      <c r="AA7" s="23" t="str">
        <f>IF(SUMPRODUCT($J$71:Z$71,$J7:Z7)&lt;0.5, "Pending", IF(Z7&lt;0.5, "Complete", "In Progress"))</f>
        <v>Complete</v>
      </c>
      <c r="AB7" s="22">
        <v>0</v>
      </c>
      <c r="AC7" s="22">
        <f t="shared" ref="AC7" si="28">MAX(Z7-AB7,0)</f>
        <v>0</v>
      </c>
      <c r="AD7" s="23" t="str">
        <f>IF(SUMPRODUCT($J$71:AC$71,$J7:AC7)&lt;0.5, "Pending", IF(AC7&lt;0.5, "Complete", "In Progress"))</f>
        <v>Complete</v>
      </c>
      <c r="AE7" s="22">
        <v>0</v>
      </c>
      <c r="AF7" s="22">
        <f t="shared" ref="AF7" si="29">MAX(AC7-AE7,0)</f>
        <v>0</v>
      </c>
      <c r="AG7" s="23" t="str">
        <f>IF(SUMPRODUCT($J$71:AF$71,$J7:AF7)&lt;0.5, "Pending", IF(AF7&lt;0.5, "Complete", "In Progress"))</f>
        <v>Complete</v>
      </c>
      <c r="AH7" s="22">
        <v>0</v>
      </c>
      <c r="AI7" s="22">
        <f t="shared" ref="AI7" si="30">MAX(AF7-AH7,0)</f>
        <v>0</v>
      </c>
      <c r="AJ7" s="23" t="str">
        <f>IF(SUMPRODUCT($J$71:AI$71,$J7:AI7)&lt;0.5, "Pending", IF(AI7&lt;0.5, "Complete", "In Progress"))</f>
        <v>Complete</v>
      </c>
      <c r="AK7" s="22">
        <v>0</v>
      </c>
      <c r="AL7" s="22">
        <f t="shared" ref="AL7" si="31">MAX(AI7-AK7,0)</f>
        <v>0</v>
      </c>
      <c r="AM7" s="23" t="str">
        <f>IF(SUMPRODUCT($J$71:AL$71,$J7:AL7)&lt;0.5, "Pending", IF(AL7&lt;0.5, "Complete", "In Progress"))</f>
        <v>Complete</v>
      </c>
      <c r="AN7" s="22">
        <v>0</v>
      </c>
      <c r="AO7" s="22">
        <f t="shared" ref="AO7" si="32">MAX(AL7-AN7,0)</f>
        <v>0</v>
      </c>
      <c r="AP7" s="23" t="str">
        <f>IF(SUMPRODUCT($J$71:AO$71,$J7:AO7)&lt;0.5, "Pending", IF(AO7&lt;0.5, "Complete", "In Progress"))</f>
        <v>Complete</v>
      </c>
      <c r="AQ7" s="22">
        <v>0</v>
      </c>
      <c r="AR7" s="22">
        <f t="shared" ref="AR7" si="33">MAX(AO7-AQ7,0)</f>
        <v>0</v>
      </c>
      <c r="AS7" s="23" t="str">
        <f>IF(SUMPRODUCT($J$71:AR$71,$J7:AR7)&lt;0.5, "Pending", IF(AR7&lt;0.5, "Complete", "In Progress"))</f>
        <v>Complete</v>
      </c>
      <c r="AT7" s="22">
        <v>0</v>
      </c>
      <c r="AU7" s="22">
        <f t="shared" ref="AU7" si="34">MAX(AR7-AT7,0)</f>
        <v>0</v>
      </c>
      <c r="AV7" s="23" t="str">
        <f>IF(SUMPRODUCT($J$71:AU$71,$J7:AU7)&lt;0.5, "Pending", IF(AU7&lt;0.5, "Complete", "In Progress"))</f>
        <v>Complete</v>
      </c>
      <c r="AW7" s="22">
        <v>0</v>
      </c>
      <c r="AX7" s="22">
        <f t="shared" ref="AX7" si="35">MAX(AU7-AW7,0)</f>
        <v>0</v>
      </c>
      <c r="AY7" s="23" t="str">
        <f>IF(SUMPRODUCT($J$71:AX$71,$J7:AX7)&lt;0.5,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ref="BD7" si="36">MAX(BA7-BC7,0)</f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ref="BG7" si="37">MAX(BD7-BF7,0)</f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ref="BJ7" si="38">MAX(BG7-BI7,0)</f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ref="BM7" si="39">MAX(BJ7-BL7,0)</f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ref="BP7" si="40">MAX(BM7-BO7,0)</f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ref="BS7" si="41">MAX(BP7-BR7,0)</f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ref="BV7" si="42">MAX(BS7-BU7,0)</f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ref="BY7" si="43">MAX(BV7-BX7,0)</f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ref="CB7" si="44">MAX(BY7-CA7,0)</f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3</v>
      </c>
    </row>
    <row r="8" spans="1:83" x14ac:dyDescent="0.25">
      <c r="A8" s="16" t="s">
        <v>121</v>
      </c>
      <c r="B8" s="16" t="s">
        <v>125</v>
      </c>
      <c r="C8" s="16" t="s">
        <v>130</v>
      </c>
      <c r="D8" s="17">
        <v>2</v>
      </c>
      <c r="E8" s="178" t="s">
        <v>135</v>
      </c>
      <c r="F8" s="18" t="s">
        <v>119</v>
      </c>
      <c r="G8" s="19" t="s">
        <v>111</v>
      </c>
      <c r="H8" s="20">
        <v>1</v>
      </c>
      <c r="I8" s="21">
        <v>4</v>
      </c>
      <c r="J8" s="22">
        <v>0</v>
      </c>
      <c r="K8" s="22">
        <f t="shared" si="1"/>
        <v>4</v>
      </c>
      <c r="L8" s="23" t="str">
        <f>IF(SUMPRODUCT($J$71:K$71,$J8:K8)&lt;0.5, "Pending", IF(K8&lt;0.5, "Complete", "In Progress"))</f>
        <v>Pending</v>
      </c>
      <c r="M8" s="22">
        <v>1</v>
      </c>
      <c r="N8" s="22">
        <v>0</v>
      </c>
      <c r="O8" s="23" t="str">
        <f>IF(SUMPRODUCT($J$71:N$71,$J8:N8)&lt;0.5, "Pending", IF(N8&lt;0.5, "Complete", "In Progress"))</f>
        <v>Complete</v>
      </c>
      <c r="P8" s="22">
        <v>0</v>
      </c>
      <c r="Q8" s="22">
        <f t="shared" si="2"/>
        <v>0</v>
      </c>
      <c r="R8" s="23" t="str">
        <f>IF(SUMPRODUCT($J$71:Q$71,$J8:Q8)&lt;0.5, "Pending", IF(Q8&lt;0.5, "Complete", "In Progress"))</f>
        <v>Complete</v>
      </c>
      <c r="S8" s="22">
        <v>0</v>
      </c>
      <c r="T8" s="22">
        <f t="shared" si="3"/>
        <v>0</v>
      </c>
      <c r="U8" s="23" t="str">
        <f>IF(SUMPRODUCT($J$71:T$71,$J8:T8)&lt;0.5, "Pending", IF(T8&lt;0.5, "Complete", "In Progress"))</f>
        <v>Complete</v>
      </c>
      <c r="V8" s="22">
        <v>0</v>
      </c>
      <c r="W8" s="22">
        <f t="shared" si="4"/>
        <v>0</v>
      </c>
      <c r="X8" s="23" t="str">
        <f>IF(SUMPRODUCT($J$71:W$71,$J8:W8)&lt;0.5, "Pending", IF(W8&lt;0.5, "Complete", "In Progress"))</f>
        <v>Complete</v>
      </c>
      <c r="Y8" s="22">
        <v>0</v>
      </c>
      <c r="Z8" s="22">
        <f t="shared" si="5"/>
        <v>0</v>
      </c>
      <c r="AA8" s="23" t="str">
        <f>IF(SUMPRODUCT($J$71:Z$71,$J8:Z8)&lt;0.5, "Pending", IF(Z8&lt;0.5, "Complete", "In Progress"))</f>
        <v>Complete</v>
      </c>
      <c r="AB8" s="22">
        <v>0</v>
      </c>
      <c r="AC8" s="22">
        <f t="shared" si="6"/>
        <v>0</v>
      </c>
      <c r="AD8" s="23" t="str">
        <f>IF(SUMPRODUCT($J$71:AC$71,$J8:AC8)&lt;0.5, "Pending", IF(AC8&lt;0.5, "Complete", "In Progress"))</f>
        <v>Complete</v>
      </c>
      <c r="AE8" s="22">
        <v>0</v>
      </c>
      <c r="AF8" s="22">
        <f t="shared" si="7"/>
        <v>0</v>
      </c>
      <c r="AG8" s="23" t="str">
        <f>IF(SUMPRODUCT($J$71:AF$71,$J8:AF8)&lt;0.5, "Pending", IF(AF8&lt;0.5, "Complete", "In Progress"))</f>
        <v>Complete</v>
      </c>
      <c r="AH8" s="22">
        <v>0</v>
      </c>
      <c r="AI8" s="22">
        <f t="shared" si="8"/>
        <v>0</v>
      </c>
      <c r="AJ8" s="23" t="str">
        <f>IF(SUMPRODUCT($J$71:AI$71,$J8:AI8)&lt;0.5, "Pending", IF(AI8&lt;0.5, "Complete", "In Progress"))</f>
        <v>Complete</v>
      </c>
      <c r="AK8" s="22">
        <v>0</v>
      </c>
      <c r="AL8" s="22">
        <f t="shared" si="9"/>
        <v>0</v>
      </c>
      <c r="AM8" s="23" t="str">
        <f>IF(SUMPRODUCT($J$71:AL$71,$J8:AL8)&lt;0.5, "Pending", IF(AL8&lt;0.5, "Complete", "In Progress"))</f>
        <v>Complete</v>
      </c>
      <c r="AN8" s="22">
        <v>0</v>
      </c>
      <c r="AO8" s="22">
        <f t="shared" si="10"/>
        <v>0</v>
      </c>
      <c r="AP8" s="23" t="str">
        <f>IF(SUMPRODUCT($J$71:AO$71,$J8:AO8)&lt;0.5, "Pending", IF(AO8&lt;0.5, "Complete", "In Progress"))</f>
        <v>Complete</v>
      </c>
      <c r="AQ8" s="22">
        <v>0</v>
      </c>
      <c r="AR8" s="22">
        <f t="shared" si="11"/>
        <v>0</v>
      </c>
      <c r="AS8" s="23" t="str">
        <f>IF(SUMPRODUCT($J$71:AR$71,$J8:AR8)&lt;0.5, "Pending", IF(AR8&lt;0.5, "Complete", "In Progress"))</f>
        <v>Complete</v>
      </c>
      <c r="AT8" s="22">
        <v>0</v>
      </c>
      <c r="AU8" s="22">
        <f t="shared" si="12"/>
        <v>0</v>
      </c>
      <c r="AV8" s="23" t="str">
        <f>IF(SUMPRODUCT($J$71:AU$71,$J8:AU8)&lt;0.5, "Pending", IF(AU8&lt;0.5, "Complete", "In Progress"))</f>
        <v>Complete</v>
      </c>
      <c r="AW8" s="22">
        <v>0</v>
      </c>
      <c r="AX8" s="22">
        <f t="shared" si="13"/>
        <v>0</v>
      </c>
      <c r="AY8" s="23" t="str">
        <f>IF(SUMPRODUCT($J$71:AX$71,$J8:AX8)&lt;0.5,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14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15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16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17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18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19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20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21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22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1</v>
      </c>
    </row>
    <row r="9" spans="1:83" x14ac:dyDescent="0.25">
      <c r="A9" s="16" t="s">
        <v>122</v>
      </c>
      <c r="B9" s="16" t="s">
        <v>125</v>
      </c>
      <c r="C9" s="16" t="s">
        <v>130</v>
      </c>
      <c r="D9" s="17">
        <v>2</v>
      </c>
      <c r="E9" s="178" t="s">
        <v>134</v>
      </c>
      <c r="F9" s="18" t="s">
        <v>118</v>
      </c>
      <c r="G9" s="19" t="str">
        <f t="shared" ca="1" si="0"/>
        <v>Complete</v>
      </c>
      <c r="H9" s="20">
        <v>1</v>
      </c>
      <c r="I9" s="21">
        <v>2</v>
      </c>
      <c r="J9" s="22">
        <v>0</v>
      </c>
      <c r="K9" s="22">
        <f t="shared" si="1"/>
        <v>2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ref="N8:N67" si="45">MAX(K9-M9,0)</f>
        <v>2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"/>
        <v>2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3"/>
        <v>2</v>
      </c>
      <c r="U9" s="23" t="str">
        <f>IF(SUMPRODUCT($J$71:T$71,$J9:T9)&lt;0.5, "Pending", IF(T9&lt;0.5, "Complete", "In Progress"))</f>
        <v>Pending</v>
      </c>
      <c r="V9" s="22">
        <v>2</v>
      </c>
      <c r="W9" s="22">
        <f t="shared" si="4"/>
        <v>0</v>
      </c>
      <c r="X9" s="23" t="str">
        <f>IF(SUMPRODUCT($J$71:W$71,$J9:W9)&lt;0.5, "Pending", IF(W9&lt;0.5, "Complete", "In Progress"))</f>
        <v>Complete</v>
      </c>
      <c r="Y9" s="22">
        <v>0</v>
      </c>
      <c r="Z9" s="22">
        <f t="shared" si="5"/>
        <v>0</v>
      </c>
      <c r="AA9" s="23" t="str">
        <f>IF(SUMPRODUCT($J$71:Z$71,$J9:Z9)&lt;0.5, "Pending", IF(Z9&lt;0.5, "Complete", "In Progress"))</f>
        <v>Complete</v>
      </c>
      <c r="AB9" s="22">
        <v>0</v>
      </c>
      <c r="AC9" s="22">
        <f t="shared" si="6"/>
        <v>0</v>
      </c>
      <c r="AD9" s="23" t="str">
        <f>IF(SUMPRODUCT($J$71:AC$71,$J9:AC9)&lt;0.5, "Pending", IF(AC9&lt;0.5, "Complete", "In Progress"))</f>
        <v>Complete</v>
      </c>
      <c r="AE9" s="22">
        <v>0</v>
      </c>
      <c r="AF9" s="22">
        <f t="shared" si="7"/>
        <v>0</v>
      </c>
      <c r="AG9" s="23" t="str">
        <f>IF(SUMPRODUCT($J$71:AF$71,$J9:AF9)&lt;0.5, "Pending", IF(AF9&lt;0.5, "Complete", "In Progress"))</f>
        <v>Complete</v>
      </c>
      <c r="AH9" s="22">
        <v>0</v>
      </c>
      <c r="AI9" s="22">
        <f t="shared" si="8"/>
        <v>0</v>
      </c>
      <c r="AJ9" s="23" t="str">
        <f>IF(SUMPRODUCT($J$71:AI$71,$J9:AI9)&lt;0.5, "Pending", IF(AI9&lt;0.5, "Complete", "In Progress"))</f>
        <v>Complete</v>
      </c>
      <c r="AK9" s="22">
        <v>0</v>
      </c>
      <c r="AL9" s="22">
        <f t="shared" si="9"/>
        <v>0</v>
      </c>
      <c r="AM9" s="23" t="str">
        <f>IF(SUMPRODUCT($J$71:AL$71,$J9:AL9)&lt;0.5, "Pending", IF(AL9&lt;0.5, "Complete", "In Progress"))</f>
        <v>Complete</v>
      </c>
      <c r="AN9" s="22">
        <v>0</v>
      </c>
      <c r="AO9" s="22">
        <f t="shared" si="10"/>
        <v>0</v>
      </c>
      <c r="AP9" s="23" t="str">
        <f>IF(SUMPRODUCT($J$71:AO$71,$J9:AO9)&lt;0.5, "Pending", IF(AO9&lt;0.5, "Complete", "In Progress"))</f>
        <v>Complete</v>
      </c>
      <c r="AQ9" s="22">
        <v>0</v>
      </c>
      <c r="AR9" s="22">
        <f t="shared" si="11"/>
        <v>0</v>
      </c>
      <c r="AS9" s="23" t="str">
        <f>IF(SUMPRODUCT($J$71:AR$71,$J9:AR9)&lt;0.5, "Pending", IF(AR9&lt;0.5, "Complete", "In Progress"))</f>
        <v>Complete</v>
      </c>
      <c r="AT9" s="22">
        <v>0</v>
      </c>
      <c r="AU9" s="22">
        <f t="shared" si="12"/>
        <v>0</v>
      </c>
      <c r="AV9" s="23" t="str">
        <f>IF(SUMPRODUCT($J$71:AU$71,$J9:AU9)&lt;0.5, "Pending", IF(AU9&lt;0.5, "Complete", "In Progress"))</f>
        <v>Complete</v>
      </c>
      <c r="AW9" s="22">
        <v>0</v>
      </c>
      <c r="AX9" s="22">
        <f t="shared" si="13"/>
        <v>0</v>
      </c>
      <c r="AY9" s="23" t="str">
        <f>IF(SUMPRODUCT($J$71:AX$71,$J9:AX9)&lt;0.5,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14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15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16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17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18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19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20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21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22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2</v>
      </c>
    </row>
    <row r="10" spans="1:83" x14ac:dyDescent="0.25">
      <c r="A10" s="16" t="s">
        <v>122</v>
      </c>
      <c r="B10" s="16" t="s">
        <v>125</v>
      </c>
      <c r="C10" s="16" t="s">
        <v>130</v>
      </c>
      <c r="D10" s="17">
        <v>2</v>
      </c>
      <c r="E10" s="178" t="s">
        <v>134</v>
      </c>
      <c r="F10" s="18" t="s">
        <v>119</v>
      </c>
      <c r="G10" s="19" t="s">
        <v>111</v>
      </c>
      <c r="H10" s="20">
        <v>1</v>
      </c>
      <c r="I10" s="21">
        <v>2</v>
      </c>
      <c r="J10" s="22">
        <v>0</v>
      </c>
      <c r="K10" s="22">
        <f t="shared" si="1"/>
        <v>2</v>
      </c>
      <c r="L10" s="23" t="str">
        <f>IF(SUMPRODUCT($J$71:K$71,$J10:K10)&lt;0.5, "Pending", IF(K10&lt;0.5, "Complete", "In Progress"))</f>
        <v>Pending</v>
      </c>
      <c r="M10" s="22">
        <v>1</v>
      </c>
      <c r="N10" s="22">
        <v>0</v>
      </c>
      <c r="O10" s="23" t="str">
        <f>IF(SUMPRODUCT($J$71:N$71,$J10:N10)&lt;0.5, "Pending", IF(N10&lt;0.5, "Complete", "In Progress"))</f>
        <v>Complete</v>
      </c>
      <c r="P10" s="22">
        <v>0</v>
      </c>
      <c r="Q10" s="22">
        <f t="shared" si="2"/>
        <v>0</v>
      </c>
      <c r="R10" s="23" t="str">
        <f>IF(SUMPRODUCT($J$71:Q$71,$J10:Q10)&lt;0.5, "Pending", IF(Q10&lt;0.5, "Complete", "In Progress"))</f>
        <v>Complete</v>
      </c>
      <c r="S10" s="22">
        <v>0</v>
      </c>
      <c r="T10" s="22">
        <f t="shared" si="3"/>
        <v>0</v>
      </c>
      <c r="U10" s="23" t="str">
        <f>IF(SUMPRODUCT($J$71:T$71,$J10:T10)&lt;0.5, "Pending", IF(T10&lt;0.5, "Complete", "In Progress"))</f>
        <v>Complete</v>
      </c>
      <c r="V10" s="22">
        <v>0</v>
      </c>
      <c r="W10" s="22">
        <f t="shared" si="4"/>
        <v>0</v>
      </c>
      <c r="X10" s="23" t="str">
        <f>IF(SUMPRODUCT($J$71:W$71,$J10:W10)&lt;0.5, "Pending", IF(W10&lt;0.5, "Complete", "In Progress"))</f>
        <v>Complete</v>
      </c>
      <c r="Y10" s="22">
        <v>0</v>
      </c>
      <c r="Z10" s="22">
        <f t="shared" si="5"/>
        <v>0</v>
      </c>
      <c r="AA10" s="23" t="str">
        <f>IF(SUMPRODUCT($J$71:Z$71,$J10:Z10)&lt;0.5, "Pending", IF(Z10&lt;0.5, "Complete", "In Progress"))</f>
        <v>Complete</v>
      </c>
      <c r="AB10" s="22">
        <v>0</v>
      </c>
      <c r="AC10" s="22">
        <f t="shared" si="6"/>
        <v>0</v>
      </c>
      <c r="AD10" s="23" t="str">
        <f>IF(SUMPRODUCT($J$71:AC$71,$J10:AC10)&lt;0.5, "Pending", IF(AC10&lt;0.5, "Complete", "In Progress"))</f>
        <v>Complete</v>
      </c>
      <c r="AE10" s="22">
        <v>0</v>
      </c>
      <c r="AF10" s="22">
        <f t="shared" si="7"/>
        <v>0</v>
      </c>
      <c r="AG10" s="23" t="str">
        <f>IF(SUMPRODUCT($J$71:AF$71,$J10:AF10)&lt;0.5, "Pending", IF(AF10&lt;0.5, "Complete", "In Progress"))</f>
        <v>Complete</v>
      </c>
      <c r="AH10" s="22">
        <v>0</v>
      </c>
      <c r="AI10" s="22">
        <f t="shared" si="8"/>
        <v>0</v>
      </c>
      <c r="AJ10" s="23" t="str">
        <f>IF(SUMPRODUCT($J$71:AI$71,$J10:AI10)&lt;0.5, "Pending", IF(AI10&lt;0.5, "Complete", "In Progress"))</f>
        <v>Complete</v>
      </c>
      <c r="AK10" s="22">
        <v>0</v>
      </c>
      <c r="AL10" s="22">
        <f t="shared" si="9"/>
        <v>0</v>
      </c>
      <c r="AM10" s="23" t="str">
        <f>IF(SUMPRODUCT($J$71:AL$71,$J10:AL10)&lt;0.5, "Pending", IF(AL10&lt;0.5, "Complete", "In Progress"))</f>
        <v>Complete</v>
      </c>
      <c r="AN10" s="22">
        <v>0</v>
      </c>
      <c r="AO10" s="22">
        <f t="shared" si="10"/>
        <v>0</v>
      </c>
      <c r="AP10" s="23" t="str">
        <f>IF(SUMPRODUCT($J$71:AO$71,$J10:AO10)&lt;0.5, "Pending", IF(AO10&lt;0.5, "Complete", "In Progress"))</f>
        <v>Complete</v>
      </c>
      <c r="AQ10" s="22">
        <v>0</v>
      </c>
      <c r="AR10" s="22">
        <f t="shared" si="11"/>
        <v>0</v>
      </c>
      <c r="AS10" s="23" t="str">
        <f>IF(SUMPRODUCT($J$71:AR$71,$J10:AR10)&lt;0.5, "Pending", IF(AR10&lt;0.5, "Complete", "In Progress"))</f>
        <v>Complete</v>
      </c>
      <c r="AT10" s="22">
        <v>0</v>
      </c>
      <c r="AU10" s="22">
        <f t="shared" si="12"/>
        <v>0</v>
      </c>
      <c r="AV10" s="23" t="str">
        <f>IF(SUMPRODUCT($J$71:AU$71,$J10:AU10)&lt;0.5, "Pending", IF(AU10&lt;0.5, "Complete", "In Progress"))</f>
        <v>Complete</v>
      </c>
      <c r="AW10" s="22">
        <v>0</v>
      </c>
      <c r="AX10" s="22">
        <f t="shared" si="13"/>
        <v>0</v>
      </c>
      <c r="AY10" s="23" t="str">
        <f>IF(SUMPRODUCT($J$71:AX$71,$J10:AX10)&lt;0.5,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14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15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16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17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18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19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20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21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22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1</v>
      </c>
    </row>
    <row r="11" spans="1:83" x14ac:dyDescent="0.25">
      <c r="A11" s="16" t="s">
        <v>121</v>
      </c>
      <c r="B11" s="16" t="s">
        <v>127</v>
      </c>
      <c r="C11" s="16" t="s">
        <v>130</v>
      </c>
      <c r="D11" s="17">
        <v>3</v>
      </c>
      <c r="E11" s="178" t="s">
        <v>136</v>
      </c>
      <c r="F11" s="18" t="s">
        <v>120</v>
      </c>
      <c r="G11" s="19" t="str">
        <f t="shared" ca="1" si="0"/>
        <v>Complete</v>
      </c>
      <c r="H11" s="20">
        <v>1</v>
      </c>
      <c r="I11" s="21">
        <v>2</v>
      </c>
      <c r="J11" s="22">
        <v>0</v>
      </c>
      <c r="K11" s="22">
        <f t="shared" si="1"/>
        <v>2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45"/>
        <v>2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"/>
        <v>2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3"/>
        <v>2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4"/>
        <v>2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5"/>
        <v>2</v>
      </c>
      <c r="AA11" s="23" t="str">
        <f>IF(SUMPRODUCT($J$71:Z$71,$J11:Z11)&lt;0.5, "Pending", IF(Z11&lt;0.5, "Complete", "In Progress"))</f>
        <v>Pending</v>
      </c>
      <c r="AB11" s="22">
        <v>2</v>
      </c>
      <c r="AC11" s="22">
        <f t="shared" si="6"/>
        <v>0</v>
      </c>
      <c r="AD11" s="23" t="str">
        <f>IF(SUMPRODUCT($J$71:AC$71,$J11:AC11)&lt;0.5, "Pending", IF(AC11&lt;0.5, "Complete", "In Progress"))</f>
        <v>Complete</v>
      </c>
      <c r="AE11" s="22">
        <v>0</v>
      </c>
      <c r="AF11" s="22">
        <f t="shared" si="7"/>
        <v>0</v>
      </c>
      <c r="AG11" s="23" t="str">
        <f>IF(SUMPRODUCT($J$71:AF$71,$J11:AF11)&lt;0.5, "Pending", IF(AF11&lt;0.5, "Complete", "In Progress"))</f>
        <v>Complete</v>
      </c>
      <c r="AH11" s="22">
        <v>0</v>
      </c>
      <c r="AI11" s="22">
        <f t="shared" si="8"/>
        <v>0</v>
      </c>
      <c r="AJ11" s="23" t="str">
        <f>IF(SUMPRODUCT($J$71:AI$71,$J11:AI11)&lt;0.5, "Pending", IF(AI11&lt;0.5, "Complete", "In Progress"))</f>
        <v>Complete</v>
      </c>
      <c r="AK11" s="22">
        <v>0</v>
      </c>
      <c r="AL11" s="22">
        <f t="shared" si="9"/>
        <v>0</v>
      </c>
      <c r="AM11" s="23" t="str">
        <f>IF(SUMPRODUCT($J$71:AL$71,$J11:AL11)&lt;0.5, "Pending", IF(AL11&lt;0.5, "Complete", "In Progress"))</f>
        <v>Complete</v>
      </c>
      <c r="AN11" s="22">
        <v>0</v>
      </c>
      <c r="AO11" s="22">
        <f t="shared" si="10"/>
        <v>0</v>
      </c>
      <c r="AP11" s="23" t="str">
        <f>IF(SUMPRODUCT($J$71:AO$71,$J11:AO11)&lt;0.5, "Pending", IF(AO11&lt;0.5, "Complete", "In Progress"))</f>
        <v>Complete</v>
      </c>
      <c r="AQ11" s="22">
        <v>0</v>
      </c>
      <c r="AR11" s="22">
        <f t="shared" si="11"/>
        <v>0</v>
      </c>
      <c r="AS11" s="23" t="str">
        <f>IF(SUMPRODUCT($J$71:AR$71,$J11:AR11)&lt;0.5, "Pending", IF(AR11&lt;0.5, "Complete", "In Progress"))</f>
        <v>Complete</v>
      </c>
      <c r="AT11" s="22">
        <v>0</v>
      </c>
      <c r="AU11" s="22">
        <f t="shared" si="12"/>
        <v>0</v>
      </c>
      <c r="AV11" s="23" t="str">
        <f>IF(SUMPRODUCT($J$71:AU$71,$J11:AU11)&lt;0.5, "Pending", IF(AU11&lt;0.5, "Complete", "In Progress"))</f>
        <v>Complete</v>
      </c>
      <c r="AW11" s="22">
        <v>0</v>
      </c>
      <c r="AX11" s="22">
        <f t="shared" si="13"/>
        <v>0</v>
      </c>
      <c r="AY11" s="23" t="str">
        <f>IF(SUMPRODUCT($J$71:AX$71,$J11:AX11)&lt;0.5,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14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15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16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17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18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19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20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21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22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2</v>
      </c>
    </row>
    <row r="12" spans="1:83" x14ac:dyDescent="0.25">
      <c r="A12" s="16" t="s">
        <v>122</v>
      </c>
      <c r="B12" s="16" t="s">
        <v>127</v>
      </c>
      <c r="C12" s="16" t="s">
        <v>130</v>
      </c>
      <c r="D12" s="17">
        <v>3</v>
      </c>
      <c r="E12" s="178" t="s">
        <v>137</v>
      </c>
      <c r="F12" s="18" t="s">
        <v>118</v>
      </c>
      <c r="G12" s="19" t="str">
        <f t="shared" ca="1" si="0"/>
        <v>Complete</v>
      </c>
      <c r="H12" s="20">
        <v>1</v>
      </c>
      <c r="I12" s="21">
        <v>1</v>
      </c>
      <c r="J12" s="22">
        <v>0</v>
      </c>
      <c r="K12" s="22">
        <f t="shared" si="1"/>
        <v>1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45"/>
        <v>1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"/>
        <v>1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3"/>
        <v>1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4"/>
        <v>1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5"/>
        <v>1</v>
      </c>
      <c r="AA12" s="23" t="str">
        <f>IF(SUMPRODUCT($J$71:Z$71,$J12:Z12)&lt;0.5, "Pending", IF(Z12&lt;0.5, "Complete", "In Progress"))</f>
        <v>Pending</v>
      </c>
      <c r="AB12" s="22">
        <v>1</v>
      </c>
      <c r="AC12" s="22">
        <f t="shared" si="6"/>
        <v>0</v>
      </c>
      <c r="AD12" s="23" t="str">
        <f>IF(SUMPRODUCT($J$71:AC$71,$J12:AC12)&lt;0.5, "Pending", IF(AC12&lt;0.5, "Complete", "In Progress"))</f>
        <v>Complete</v>
      </c>
      <c r="AE12" s="22">
        <v>0</v>
      </c>
      <c r="AF12" s="22">
        <f t="shared" si="7"/>
        <v>0</v>
      </c>
      <c r="AG12" s="23" t="str">
        <f>IF(SUMPRODUCT($J$71:AF$71,$J12:AF12)&lt;0.5, "Pending", IF(AF12&lt;0.5, "Complete", "In Progress"))</f>
        <v>Complete</v>
      </c>
      <c r="AH12" s="22">
        <v>0</v>
      </c>
      <c r="AI12" s="22">
        <f t="shared" si="8"/>
        <v>0</v>
      </c>
      <c r="AJ12" s="23" t="str">
        <f>IF(SUMPRODUCT($J$71:AI$71,$J12:AI12)&lt;0.5, "Pending", IF(AI12&lt;0.5, "Complete", "In Progress"))</f>
        <v>Complete</v>
      </c>
      <c r="AK12" s="22">
        <v>0</v>
      </c>
      <c r="AL12" s="22">
        <f t="shared" si="9"/>
        <v>0</v>
      </c>
      <c r="AM12" s="23" t="str">
        <f>IF(SUMPRODUCT($J$71:AL$71,$J12:AL12)&lt;0.5, "Pending", IF(AL12&lt;0.5, "Complete", "In Progress"))</f>
        <v>Complete</v>
      </c>
      <c r="AN12" s="22">
        <v>0</v>
      </c>
      <c r="AO12" s="22">
        <f t="shared" si="10"/>
        <v>0</v>
      </c>
      <c r="AP12" s="23" t="str">
        <f>IF(SUMPRODUCT($J$71:AO$71,$J12:AO12)&lt;0.5, "Pending", IF(AO12&lt;0.5, "Complete", "In Progress"))</f>
        <v>Complete</v>
      </c>
      <c r="AQ12" s="22">
        <v>0</v>
      </c>
      <c r="AR12" s="22">
        <f t="shared" si="11"/>
        <v>0</v>
      </c>
      <c r="AS12" s="23" t="str">
        <f>IF(SUMPRODUCT($J$71:AR$71,$J12:AR12)&lt;0.5, "Pending", IF(AR12&lt;0.5, "Complete", "In Progress"))</f>
        <v>Complete</v>
      </c>
      <c r="AT12" s="22">
        <v>0</v>
      </c>
      <c r="AU12" s="22">
        <f t="shared" si="12"/>
        <v>0</v>
      </c>
      <c r="AV12" s="23" t="str">
        <f>IF(SUMPRODUCT($J$71:AU$71,$J12:AU12)&lt;0.5, "Pending", IF(AU12&lt;0.5, "Complete", "In Progress"))</f>
        <v>Complete</v>
      </c>
      <c r="AW12" s="22">
        <v>0</v>
      </c>
      <c r="AX12" s="22">
        <f t="shared" si="13"/>
        <v>0</v>
      </c>
      <c r="AY12" s="23" t="str">
        <f>IF(SUMPRODUCT($J$71:AX$71,$J12:AX12)&lt;0.5,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14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15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16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17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18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19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20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21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22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1</v>
      </c>
    </row>
    <row r="13" spans="1:83" x14ac:dyDescent="0.25">
      <c r="A13" s="16" t="s">
        <v>122</v>
      </c>
      <c r="B13" s="16" t="s">
        <v>127</v>
      </c>
      <c r="C13" s="16" t="s">
        <v>130</v>
      </c>
      <c r="D13" s="17">
        <v>3</v>
      </c>
      <c r="E13" s="178" t="s">
        <v>137</v>
      </c>
      <c r="F13" s="18" t="s">
        <v>120</v>
      </c>
      <c r="G13" s="19" t="str">
        <f t="shared" ca="1" si="0"/>
        <v>Complete</v>
      </c>
      <c r="H13" s="20">
        <v>1</v>
      </c>
      <c r="I13" s="21">
        <v>1</v>
      </c>
      <c r="J13" s="22">
        <v>0</v>
      </c>
      <c r="K13" s="22">
        <f t="shared" si="1"/>
        <v>1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si="45"/>
        <v>1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si="2"/>
        <v>1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si="3"/>
        <v>1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si="4"/>
        <v>1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si="5"/>
        <v>1</v>
      </c>
      <c r="AA13" s="23" t="str">
        <f>IF(SUMPRODUCT($J$71:Z$71,$J13:Z13)&lt;0.5, "Pending", IF(Z13&lt;0.5, "Complete", "In Progress"))</f>
        <v>Pending</v>
      </c>
      <c r="AB13" s="22">
        <v>1</v>
      </c>
      <c r="AC13" s="22">
        <f t="shared" si="6"/>
        <v>0</v>
      </c>
      <c r="AD13" s="23" t="str">
        <f>IF(SUMPRODUCT($J$71:AC$71,$J13:AC13)&lt;0.5, "Pending", IF(AC13&lt;0.5, "Complete", "In Progress"))</f>
        <v>Complete</v>
      </c>
      <c r="AE13" s="22">
        <v>0</v>
      </c>
      <c r="AF13" s="22">
        <f t="shared" si="7"/>
        <v>0</v>
      </c>
      <c r="AG13" s="23" t="str">
        <f>IF(SUMPRODUCT($J$71:AF$71,$J13:AF13)&lt;0.5, "Pending", IF(AF13&lt;0.5, "Complete", "In Progress"))</f>
        <v>Complete</v>
      </c>
      <c r="AH13" s="22">
        <v>0</v>
      </c>
      <c r="AI13" s="22">
        <f t="shared" si="8"/>
        <v>0</v>
      </c>
      <c r="AJ13" s="23" t="str">
        <f>IF(SUMPRODUCT($J$71:AI$71,$J13:AI13)&lt;0.5, "Pending", IF(AI13&lt;0.5, "Complete", "In Progress"))</f>
        <v>Complete</v>
      </c>
      <c r="AK13" s="22">
        <v>0</v>
      </c>
      <c r="AL13" s="22">
        <f t="shared" si="9"/>
        <v>0</v>
      </c>
      <c r="AM13" s="23" t="str">
        <f>IF(SUMPRODUCT($J$71:AL$71,$J13:AL13)&lt;0.5, "Pending", IF(AL13&lt;0.5, "Complete", "In Progress"))</f>
        <v>Complete</v>
      </c>
      <c r="AN13" s="22">
        <v>0</v>
      </c>
      <c r="AO13" s="22">
        <f t="shared" si="10"/>
        <v>0</v>
      </c>
      <c r="AP13" s="23" t="str">
        <f>IF(SUMPRODUCT($J$71:AO$71,$J13:AO13)&lt;0.5, "Pending", IF(AO13&lt;0.5, "Complete", "In Progress"))</f>
        <v>Complete</v>
      </c>
      <c r="AQ13" s="22">
        <v>0</v>
      </c>
      <c r="AR13" s="22">
        <f t="shared" si="11"/>
        <v>0</v>
      </c>
      <c r="AS13" s="23" t="str">
        <f>IF(SUMPRODUCT($J$71:AR$71,$J13:AR13)&lt;0.5, "Pending", IF(AR13&lt;0.5, "Complete", "In Progress"))</f>
        <v>Complete</v>
      </c>
      <c r="AT13" s="22">
        <v>0</v>
      </c>
      <c r="AU13" s="22">
        <f t="shared" si="12"/>
        <v>0</v>
      </c>
      <c r="AV13" s="23" t="str">
        <f>IF(SUMPRODUCT($J$71:AU$71,$J13:AU13)&lt;0.5, "Pending", IF(AU13&lt;0.5, "Complete", "In Progress"))</f>
        <v>Complete</v>
      </c>
      <c r="AW13" s="22">
        <v>0</v>
      </c>
      <c r="AX13" s="22">
        <f t="shared" si="13"/>
        <v>0</v>
      </c>
      <c r="AY13" s="23" t="str">
        <f>IF(SUMPRODUCT($J$71:AX$71,$J13:AX13)&lt;0.5, "Pending", IF(AX13&lt;0.5, "Complete", "In Progress"))</f>
        <v>Complete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si="14"/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si="15"/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si="16"/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si="17"/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si="18"/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si="19"/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si="20"/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si="21"/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si="22"/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1</v>
      </c>
    </row>
    <row r="14" spans="1:83" x14ac:dyDescent="0.25">
      <c r="A14" s="16" t="s">
        <v>121</v>
      </c>
      <c r="B14" s="16" t="s">
        <v>124</v>
      </c>
      <c r="C14" s="16" t="s">
        <v>130</v>
      </c>
      <c r="D14" s="17">
        <v>4</v>
      </c>
      <c r="E14" s="178" t="s">
        <v>138</v>
      </c>
      <c r="F14" s="18" t="s">
        <v>119</v>
      </c>
      <c r="G14" s="19" t="s">
        <v>111</v>
      </c>
      <c r="H14" s="20">
        <v>1</v>
      </c>
      <c r="I14" s="21">
        <v>4</v>
      </c>
      <c r="J14" s="22">
        <v>0</v>
      </c>
      <c r="K14" s="22">
        <f t="shared" si="1"/>
        <v>4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si="45"/>
        <v>4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si="2"/>
        <v>4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si="3"/>
        <v>4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si="4"/>
        <v>4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si="5"/>
        <v>4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si="6"/>
        <v>4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si="7"/>
        <v>4</v>
      </c>
      <c r="AG14" s="23" t="str">
        <f>IF(SUMPRODUCT($J$71:AF$71,$J14:AF14)&lt;0.5, "Pending", IF(AF14&lt;0.5, "Complete", "In Progress"))</f>
        <v>Pending</v>
      </c>
      <c r="AH14" s="22">
        <v>2</v>
      </c>
      <c r="AI14" s="22">
        <v>0</v>
      </c>
      <c r="AJ14" s="23" t="str">
        <f>IF(SUMPRODUCT($J$71:AI$71,$J14:AI14)&lt;0.5, "Pending", IF(AI14&lt;0.5, "Complete", "In Progress"))</f>
        <v>Complete</v>
      </c>
      <c r="AK14" s="22">
        <v>0</v>
      </c>
      <c r="AL14" s="22">
        <f t="shared" si="9"/>
        <v>0</v>
      </c>
      <c r="AM14" s="23" t="str">
        <f>IF(SUMPRODUCT($J$71:AL$71,$J14:AL14)&lt;0.5, "Pending", IF(AL14&lt;0.5, "Complete", "In Progress"))</f>
        <v>Complete</v>
      </c>
      <c r="AN14" s="22">
        <v>0</v>
      </c>
      <c r="AO14" s="22">
        <f t="shared" si="10"/>
        <v>0</v>
      </c>
      <c r="AP14" s="23" t="str">
        <f>IF(SUMPRODUCT($J$71:AO$71,$J14:AO14)&lt;0.5, "Pending", IF(AO14&lt;0.5, "Complete", "In Progress"))</f>
        <v>Complete</v>
      </c>
      <c r="AQ14" s="22">
        <v>0</v>
      </c>
      <c r="AR14" s="22">
        <f t="shared" si="11"/>
        <v>0</v>
      </c>
      <c r="AS14" s="23" t="str">
        <f>IF(SUMPRODUCT($J$71:AR$71,$J14:AR14)&lt;0.5, "Pending", IF(AR14&lt;0.5, "Complete", "In Progress"))</f>
        <v>Complete</v>
      </c>
      <c r="AT14" s="22">
        <v>0</v>
      </c>
      <c r="AU14" s="22">
        <f t="shared" si="12"/>
        <v>0</v>
      </c>
      <c r="AV14" s="23" t="str">
        <f>IF(SUMPRODUCT($J$71:AU$71,$J14:AU14)&lt;0.5, "Pending", IF(AU14&lt;0.5, "Complete", "In Progress"))</f>
        <v>Complete</v>
      </c>
      <c r="AW14" s="22">
        <v>0</v>
      </c>
      <c r="AX14" s="22">
        <f t="shared" si="13"/>
        <v>0</v>
      </c>
      <c r="AY14" s="23" t="str">
        <f>IF(SUMPRODUCT($J$71:AX$71,$J14:AX14)&lt;0.5,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si="14"/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si="15"/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si="16"/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si="17"/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si="18"/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si="19"/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si="20"/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si="21"/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si="22"/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2</v>
      </c>
    </row>
    <row r="15" spans="1:83" x14ac:dyDescent="0.25">
      <c r="A15" s="16" t="s">
        <v>121</v>
      </c>
      <c r="B15" s="16" t="s">
        <v>124</v>
      </c>
      <c r="C15" s="16" t="s">
        <v>130</v>
      </c>
      <c r="D15" s="17">
        <v>4</v>
      </c>
      <c r="E15" s="178" t="s">
        <v>138</v>
      </c>
      <c r="F15" s="18" t="s">
        <v>120</v>
      </c>
      <c r="G15" s="19" t="str">
        <f t="shared" ca="1" si="0"/>
        <v>In Progress</v>
      </c>
      <c r="H15" s="20">
        <v>1</v>
      </c>
      <c r="I15" s="21">
        <v>4</v>
      </c>
      <c r="J15" s="22">
        <v>0</v>
      </c>
      <c r="K15" s="22">
        <f t="shared" si="1"/>
        <v>4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45"/>
        <v>4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2"/>
        <v>4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3"/>
        <v>4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4"/>
        <v>4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"/>
        <v>4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6"/>
        <v>4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7"/>
        <v>4</v>
      </c>
      <c r="AG15" s="23" t="str">
        <f>IF(SUMPRODUCT($J$71:AF$71,$J15:AF15)&lt;0.5, "Pending", IF(AF15&lt;0.5, "Complete", "In Progress"))</f>
        <v>Pending</v>
      </c>
      <c r="AH15" s="22">
        <v>1</v>
      </c>
      <c r="AI15" s="22">
        <f t="shared" si="8"/>
        <v>3</v>
      </c>
      <c r="AJ15" s="23" t="str">
        <f>IF(SUMPRODUCT($J$71:AI$71,$J15:AI15)&lt;0.5, "Pending", IF(AI15&lt;0.5, "Complete", "In Progress"))</f>
        <v>In Progress</v>
      </c>
      <c r="AK15" s="22">
        <v>0</v>
      </c>
      <c r="AL15" s="22">
        <f t="shared" si="9"/>
        <v>3</v>
      </c>
      <c r="AM15" s="23" t="str">
        <f>IF(SUMPRODUCT($J$71:AL$71,$J15:AL15)&lt;0.5, "Pending", IF(AL15&lt;0.5, "Complete", "In Progress"))</f>
        <v>In Progress</v>
      </c>
      <c r="AN15" s="22">
        <v>0</v>
      </c>
      <c r="AO15" s="22">
        <f t="shared" si="10"/>
        <v>3</v>
      </c>
      <c r="AP15" s="23" t="str">
        <f>IF(SUMPRODUCT($J$71:AO$71,$J15:AO15)&lt;0.5, "Pending", IF(AO15&lt;0.5, "Complete", "In Progress"))</f>
        <v>In Progress</v>
      </c>
      <c r="AQ15" s="22">
        <v>0</v>
      </c>
      <c r="AR15" s="22">
        <f t="shared" si="11"/>
        <v>3</v>
      </c>
      <c r="AS15" s="23" t="str">
        <f>IF(SUMPRODUCT($J$71:AR$71,$J15:AR15)&lt;0.5, "Pending", IF(AR15&lt;0.5, "Complete", "In Progress"))</f>
        <v>In Progress</v>
      </c>
      <c r="AT15" s="22">
        <v>0</v>
      </c>
      <c r="AU15" s="22">
        <f t="shared" si="12"/>
        <v>3</v>
      </c>
      <c r="AV15" s="23" t="str">
        <f>IF(SUMPRODUCT($J$71:AU$71,$J15:AU15)&lt;0.5, "Pending", IF(AU15&lt;0.5, "Complete", "In Progress"))</f>
        <v>In Progress</v>
      </c>
      <c r="AW15" s="22">
        <v>0</v>
      </c>
      <c r="AX15" s="22">
        <f t="shared" si="13"/>
        <v>3</v>
      </c>
      <c r="AY15" s="23" t="str">
        <f>IF(SUMPRODUCT($J$71:AX$71,$J15:AX15)&lt;0.5, "Pending", IF(AX15&lt;0.5, "Complete", "In Progress"))</f>
        <v>In Progress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14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15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16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17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18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19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20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21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22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1</v>
      </c>
    </row>
    <row r="16" spans="1:83" x14ac:dyDescent="0.25">
      <c r="A16" s="16" t="s">
        <v>107</v>
      </c>
      <c r="B16" s="16" t="s">
        <v>124</v>
      </c>
      <c r="C16" s="16" t="s">
        <v>130</v>
      </c>
      <c r="D16" s="17">
        <v>4</v>
      </c>
      <c r="E16" s="178" t="s">
        <v>139</v>
      </c>
      <c r="F16" s="18" t="s">
        <v>119</v>
      </c>
      <c r="G16" s="19" t="str">
        <f t="shared" ca="1" si="0"/>
        <v>Complete</v>
      </c>
      <c r="H16" s="20">
        <v>1</v>
      </c>
      <c r="I16" s="21">
        <v>4</v>
      </c>
      <c r="J16" s="22">
        <v>0</v>
      </c>
      <c r="K16" s="22">
        <f t="shared" si="1"/>
        <v>4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45"/>
        <v>4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"/>
        <v>4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3"/>
        <v>4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4"/>
        <v>4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5"/>
        <v>4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6"/>
        <v>4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7"/>
        <v>4</v>
      </c>
      <c r="AG16" s="23" t="str">
        <f>IF(SUMPRODUCT($J$71:AF$71,$J16:AF16)&lt;0.5, "Pending", IF(AF16&lt;0.5, "Complete", "In Progress"))</f>
        <v>Pending</v>
      </c>
      <c r="AH16" s="22">
        <v>2</v>
      </c>
      <c r="AI16" s="22">
        <v>0</v>
      </c>
      <c r="AJ16" s="23" t="str">
        <f>IF(SUMPRODUCT($J$71:AI$71,$J16:AI16)&lt;0.5, "Pending", IF(AI16&lt;0.5, "Complete", "In Progress"))</f>
        <v>Complete</v>
      </c>
      <c r="AK16" s="22">
        <v>0</v>
      </c>
      <c r="AL16" s="22">
        <f t="shared" si="9"/>
        <v>0</v>
      </c>
      <c r="AM16" s="23" t="str">
        <f>IF(SUMPRODUCT($J$71:AL$71,$J16:AL16)&lt;0.5, "Pending", IF(AL16&lt;0.5, "Complete", "In Progress"))</f>
        <v>Complete</v>
      </c>
      <c r="AN16" s="22">
        <v>0</v>
      </c>
      <c r="AO16" s="22">
        <f t="shared" si="10"/>
        <v>0</v>
      </c>
      <c r="AP16" s="23" t="str">
        <f>IF(SUMPRODUCT($J$71:AO$71,$J16:AO16)&lt;0.5, "Pending", IF(AO16&lt;0.5, "Complete", "In Progress"))</f>
        <v>Complete</v>
      </c>
      <c r="AQ16" s="22">
        <v>0</v>
      </c>
      <c r="AR16" s="22">
        <f t="shared" si="11"/>
        <v>0</v>
      </c>
      <c r="AS16" s="23" t="str">
        <f>IF(SUMPRODUCT($J$71:AR$71,$J16:AR16)&lt;0.5, "Pending", IF(AR16&lt;0.5, "Complete", "In Progress"))</f>
        <v>Complete</v>
      </c>
      <c r="AT16" s="22">
        <v>0</v>
      </c>
      <c r="AU16" s="22">
        <f t="shared" si="12"/>
        <v>0</v>
      </c>
      <c r="AV16" s="23" t="str">
        <f>IF(SUMPRODUCT($J$71:AU$71,$J16:AU16)&lt;0.5, "Pending", IF(AU16&lt;0.5, "Complete", "In Progress"))</f>
        <v>Complete</v>
      </c>
      <c r="AW16" s="22">
        <v>0</v>
      </c>
      <c r="AX16" s="22">
        <f t="shared" si="13"/>
        <v>0</v>
      </c>
      <c r="AY16" s="23" t="str">
        <f>IF(SUMPRODUCT($J$71:AX$71,$J16:AX16)&lt;0.5,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14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15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16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17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18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19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20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21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22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2</v>
      </c>
    </row>
    <row r="17" spans="1:83" x14ac:dyDescent="0.25">
      <c r="A17" s="16" t="s">
        <v>107</v>
      </c>
      <c r="B17" s="16" t="s">
        <v>124</v>
      </c>
      <c r="C17" s="16" t="s">
        <v>130</v>
      </c>
      <c r="D17" s="17">
        <v>4</v>
      </c>
      <c r="E17" s="178" t="s">
        <v>139</v>
      </c>
      <c r="F17" s="18" t="s">
        <v>120</v>
      </c>
      <c r="G17" s="19" t="str">
        <f t="shared" ca="1" si="0"/>
        <v>In Progress</v>
      </c>
      <c r="H17" s="20">
        <v>1</v>
      </c>
      <c r="I17" s="21">
        <v>4</v>
      </c>
      <c r="J17" s="22">
        <v>0</v>
      </c>
      <c r="K17" s="22">
        <f t="shared" si="1"/>
        <v>4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45"/>
        <v>4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2"/>
        <v>4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3"/>
        <v>4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4"/>
        <v>4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5"/>
        <v>4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6"/>
        <v>4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7"/>
        <v>4</v>
      </c>
      <c r="AG17" s="23" t="str">
        <f>IF(SUMPRODUCT($J$71:AF$71,$J17:AF17)&lt;0.5, "Pending", IF(AF17&lt;0.5, "Complete", "In Progress"))</f>
        <v>Pending</v>
      </c>
      <c r="AH17" s="22">
        <v>1</v>
      </c>
      <c r="AI17" s="22">
        <f t="shared" si="8"/>
        <v>3</v>
      </c>
      <c r="AJ17" s="23" t="str">
        <f>IF(SUMPRODUCT($J$71:AI$71,$J17:AI17)&lt;0.5, "Pending", IF(AI17&lt;0.5, "Complete", "In Progress"))</f>
        <v>In Progress</v>
      </c>
      <c r="AK17" s="22">
        <v>0</v>
      </c>
      <c r="AL17" s="22">
        <f t="shared" si="9"/>
        <v>3</v>
      </c>
      <c r="AM17" s="23" t="str">
        <f>IF(SUMPRODUCT($J$71:AL$71,$J17:AL17)&lt;0.5, "Pending", IF(AL17&lt;0.5, "Complete", "In Progress"))</f>
        <v>In Progress</v>
      </c>
      <c r="AN17" s="22">
        <v>0</v>
      </c>
      <c r="AO17" s="22">
        <f t="shared" si="10"/>
        <v>3</v>
      </c>
      <c r="AP17" s="23" t="str">
        <f>IF(SUMPRODUCT($J$71:AO$71,$J17:AO17)&lt;0.5, "Pending", IF(AO17&lt;0.5, "Complete", "In Progress"))</f>
        <v>In Progress</v>
      </c>
      <c r="AQ17" s="22">
        <v>0</v>
      </c>
      <c r="AR17" s="22">
        <f t="shared" si="11"/>
        <v>3</v>
      </c>
      <c r="AS17" s="23" t="str">
        <f>IF(SUMPRODUCT($J$71:AR$71,$J17:AR17)&lt;0.5, "Pending", IF(AR17&lt;0.5, "Complete", "In Progress"))</f>
        <v>In Progress</v>
      </c>
      <c r="AT17" s="22">
        <v>0</v>
      </c>
      <c r="AU17" s="22">
        <f t="shared" si="12"/>
        <v>3</v>
      </c>
      <c r="AV17" s="23" t="str">
        <f>IF(SUMPRODUCT($J$71:AU$71,$J17:AU17)&lt;0.5, "Pending", IF(AU17&lt;0.5, "Complete", "In Progress"))</f>
        <v>In Progress</v>
      </c>
      <c r="AW17" s="22">
        <v>0</v>
      </c>
      <c r="AX17" s="22">
        <f t="shared" si="13"/>
        <v>3</v>
      </c>
      <c r="AY17" s="23" t="str">
        <f>IF(SUMPRODUCT($J$71:AX$71,$J17:AX17)&lt;0.5, "Pending", IF(AX17&lt;0.5, "Complete", "In Progress"))</f>
        <v>In Progress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14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15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16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17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18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19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20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21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22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1</v>
      </c>
    </row>
    <row r="18" spans="1:83" x14ac:dyDescent="0.25">
      <c r="A18" s="16" t="s">
        <v>122</v>
      </c>
      <c r="B18" s="16" t="s">
        <v>124</v>
      </c>
      <c r="C18" s="16" t="s">
        <v>130</v>
      </c>
      <c r="D18" s="17">
        <v>4</v>
      </c>
      <c r="E18" s="178" t="s">
        <v>140</v>
      </c>
      <c r="F18" s="18" t="s">
        <v>118</v>
      </c>
      <c r="G18" s="19" t="str">
        <f t="shared" ca="1" si="0"/>
        <v>Pending</v>
      </c>
      <c r="H18" s="20">
        <v>1</v>
      </c>
      <c r="I18" s="21">
        <v>3</v>
      </c>
      <c r="J18" s="22">
        <v>0</v>
      </c>
      <c r="K18" s="22">
        <f t="shared" si="1"/>
        <v>3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45"/>
        <v>3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"/>
        <v>3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3"/>
        <v>3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4"/>
        <v>3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5"/>
        <v>3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6"/>
        <v>3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7"/>
        <v>3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8"/>
        <v>3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9"/>
        <v>3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10"/>
        <v>3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11"/>
        <v>3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12"/>
        <v>3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13"/>
        <v>3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14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15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16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17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18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19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20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21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22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25">
      <c r="A19" s="16" t="s">
        <v>122</v>
      </c>
      <c r="B19" s="16" t="s">
        <v>124</v>
      </c>
      <c r="C19" s="16" t="s">
        <v>130</v>
      </c>
      <c r="D19" s="17">
        <v>4</v>
      </c>
      <c r="E19" s="178" t="s">
        <v>140</v>
      </c>
      <c r="F19" s="18" t="s">
        <v>119</v>
      </c>
      <c r="G19" s="19" t="str">
        <f t="shared" ca="1" si="0"/>
        <v>Pending</v>
      </c>
      <c r="H19" s="20">
        <v>1</v>
      </c>
      <c r="I19" s="21">
        <v>3</v>
      </c>
      <c r="J19" s="22">
        <v>0</v>
      </c>
      <c r="K19" s="22">
        <f t="shared" si="1"/>
        <v>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si="45"/>
        <v>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si="2"/>
        <v>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si="3"/>
        <v>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si="4"/>
        <v>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si="5"/>
        <v>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si="6"/>
        <v>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si="7"/>
        <v>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si="8"/>
        <v>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si="9"/>
        <v>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si="10"/>
        <v>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si="11"/>
        <v>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si="12"/>
        <v>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si="13"/>
        <v>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si="14"/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si="15"/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si="16"/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si="17"/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si="18"/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si="19"/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si="20"/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si="21"/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si="22"/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 x14ac:dyDescent="0.25">
      <c r="A20" s="16" t="s">
        <v>122</v>
      </c>
      <c r="B20" s="16" t="s">
        <v>124</v>
      </c>
      <c r="C20" s="16" t="s">
        <v>130</v>
      </c>
      <c r="D20" s="17">
        <v>4</v>
      </c>
      <c r="E20" s="178" t="s">
        <v>140</v>
      </c>
      <c r="F20" s="18" t="s">
        <v>120</v>
      </c>
      <c r="G20" s="19" t="str">
        <f t="shared" ca="1" si="0"/>
        <v>Pending</v>
      </c>
      <c r="H20" s="20">
        <v>1</v>
      </c>
      <c r="I20" s="21">
        <v>3</v>
      </c>
      <c r="J20" s="22">
        <v>0</v>
      </c>
      <c r="K20" s="22">
        <f t="shared" si="1"/>
        <v>3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45"/>
        <v>3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"/>
        <v>3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3"/>
        <v>3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4"/>
        <v>3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5"/>
        <v>3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6"/>
        <v>3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7"/>
        <v>3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8"/>
        <v>3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9"/>
        <v>3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10"/>
        <v>3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11"/>
        <v>3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12"/>
        <v>3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13"/>
        <v>3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14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15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16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17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18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19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20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21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22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25">
      <c r="A21" s="16" t="s">
        <v>121</v>
      </c>
      <c r="B21" s="16" t="s">
        <v>124</v>
      </c>
      <c r="C21" s="16" t="s">
        <v>130</v>
      </c>
      <c r="D21" s="17">
        <v>5</v>
      </c>
      <c r="E21" s="178" t="s">
        <v>141</v>
      </c>
      <c r="F21" s="18" t="s">
        <v>117</v>
      </c>
      <c r="G21" s="19" t="str">
        <f t="shared" ca="1" si="0"/>
        <v>Complete</v>
      </c>
      <c r="H21" s="20">
        <v>1</v>
      </c>
      <c r="I21" s="21">
        <v>3</v>
      </c>
      <c r="J21" s="22">
        <v>0</v>
      </c>
      <c r="K21" s="22">
        <f t="shared" si="1"/>
        <v>3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si="45"/>
        <v>3</v>
      </c>
      <c r="O21" s="23" t="str">
        <f>IF(SUMPRODUCT($J$71:N$71,$J21:N21)&lt;0.5, "Pending", IF(N21&lt;0.5, "Complete", "In Progress"))</f>
        <v>Pending</v>
      </c>
      <c r="P21" s="22">
        <v>1</v>
      </c>
      <c r="Q21" s="22">
        <f t="shared" si="2"/>
        <v>2</v>
      </c>
      <c r="R21" s="23" t="str">
        <f>IF(SUMPRODUCT($J$71:Q$71,$J21:Q21)&lt;0.5, "Pending", IF(Q21&lt;0.5, "Complete", "In Progress"))</f>
        <v>In Progress</v>
      </c>
      <c r="S21" s="22">
        <v>0</v>
      </c>
      <c r="T21" s="22">
        <f t="shared" si="3"/>
        <v>2</v>
      </c>
      <c r="U21" s="23" t="str">
        <f>IF(SUMPRODUCT($J$71:T$71,$J21:T21)&lt;0.5, "Pending", IF(T21&lt;0.5, "Complete", "In Progress"))</f>
        <v>In Progress</v>
      </c>
      <c r="V21" s="22">
        <v>1</v>
      </c>
      <c r="W21" s="22">
        <f t="shared" si="4"/>
        <v>1</v>
      </c>
      <c r="X21" s="23" t="str">
        <f>IF(SUMPRODUCT($J$71:W$71,$J21:W21)&lt;0.5, "Pending", IF(W21&lt;0.5, "Complete", "In Progress"))</f>
        <v>In Progress</v>
      </c>
      <c r="Y21" s="22">
        <v>1</v>
      </c>
      <c r="Z21" s="22">
        <f t="shared" si="5"/>
        <v>0</v>
      </c>
      <c r="AA21" s="23" t="str">
        <f>IF(SUMPRODUCT($J$71:Z$71,$J21:Z21)&lt;0.5, "Pending", IF(Z21&lt;0.5, "Complete", "In Progress"))</f>
        <v>Complete</v>
      </c>
      <c r="AB21" s="22">
        <v>0</v>
      </c>
      <c r="AC21" s="22">
        <f t="shared" si="6"/>
        <v>0</v>
      </c>
      <c r="AD21" s="23" t="str">
        <f>IF(SUMPRODUCT($J$71:AC$71,$J21:AC21)&lt;0.5, "Pending", IF(AC21&lt;0.5, "Complete", "In Progress"))</f>
        <v>Complete</v>
      </c>
      <c r="AE21" s="22">
        <v>0</v>
      </c>
      <c r="AF21" s="22">
        <f t="shared" si="7"/>
        <v>0</v>
      </c>
      <c r="AG21" s="23" t="str">
        <f>IF(SUMPRODUCT($J$71:AF$71,$J21:AF21)&lt;0.5, "Pending", IF(AF21&lt;0.5, "Complete", "In Progress"))</f>
        <v>Complete</v>
      </c>
      <c r="AH21" s="22">
        <v>0</v>
      </c>
      <c r="AI21" s="22">
        <f t="shared" si="8"/>
        <v>0</v>
      </c>
      <c r="AJ21" s="23" t="str">
        <f>IF(SUMPRODUCT($J$71:AI$71,$J21:AI21)&lt;0.5, "Pending", IF(AI21&lt;0.5, "Complete", "In Progress"))</f>
        <v>Complete</v>
      </c>
      <c r="AK21" s="22">
        <v>0</v>
      </c>
      <c r="AL21" s="22">
        <f t="shared" si="9"/>
        <v>0</v>
      </c>
      <c r="AM21" s="23" t="str">
        <f>IF(SUMPRODUCT($J$71:AL$71,$J21:AL21)&lt;0.5, "Pending", IF(AL21&lt;0.5, "Complete", "In Progress"))</f>
        <v>Complete</v>
      </c>
      <c r="AN21" s="22">
        <v>0</v>
      </c>
      <c r="AO21" s="22">
        <f t="shared" si="10"/>
        <v>0</v>
      </c>
      <c r="AP21" s="23" t="str">
        <f>IF(SUMPRODUCT($J$71:AO$71,$J21:AO21)&lt;0.5, "Pending", IF(AO21&lt;0.5, "Complete", "In Progress"))</f>
        <v>Complete</v>
      </c>
      <c r="AQ21" s="22">
        <v>0</v>
      </c>
      <c r="AR21" s="22">
        <f t="shared" si="11"/>
        <v>0</v>
      </c>
      <c r="AS21" s="23" t="str">
        <f>IF(SUMPRODUCT($J$71:AR$71,$J21:AR21)&lt;0.5, "Pending", IF(AR21&lt;0.5, "Complete", "In Progress"))</f>
        <v>Complete</v>
      </c>
      <c r="AT21" s="22">
        <v>0</v>
      </c>
      <c r="AU21" s="22">
        <f t="shared" si="12"/>
        <v>0</v>
      </c>
      <c r="AV21" s="23" t="str">
        <f>IF(SUMPRODUCT($J$71:AU$71,$J21:AU21)&lt;0.5, "Pending", IF(AU21&lt;0.5, "Complete", "In Progress"))</f>
        <v>Complete</v>
      </c>
      <c r="AW21" s="22">
        <v>0</v>
      </c>
      <c r="AX21" s="22">
        <f t="shared" si="13"/>
        <v>0</v>
      </c>
      <c r="AY21" s="23" t="str">
        <f>IF(SUMPRODUCT($J$71:AX$71,$J21:AX21)&lt;0.5,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si="14"/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si="15"/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si="16"/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si="17"/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si="18"/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si="19"/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si="20"/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si="21"/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si="22"/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3</v>
      </c>
    </row>
    <row r="22" spans="1:83" x14ac:dyDescent="0.25">
      <c r="A22" s="16" t="s">
        <v>121</v>
      </c>
      <c r="B22" s="16" t="s">
        <v>124</v>
      </c>
      <c r="C22" s="16" t="s">
        <v>130</v>
      </c>
      <c r="D22" s="17">
        <v>6</v>
      </c>
      <c r="E22" s="178" t="s">
        <v>142</v>
      </c>
      <c r="F22" s="18" t="s">
        <v>117</v>
      </c>
      <c r="G22" s="19" t="str">
        <f t="shared" ca="1" si="0"/>
        <v>In Progress</v>
      </c>
      <c r="H22" s="20">
        <v>1</v>
      </c>
      <c r="I22" s="21">
        <v>24</v>
      </c>
      <c r="J22" s="22">
        <v>0</v>
      </c>
      <c r="K22" s="22">
        <f t="shared" si="1"/>
        <v>24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45"/>
        <v>24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2"/>
        <v>24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3"/>
        <v>24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4"/>
        <v>24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5"/>
        <v>24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6"/>
        <v>24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7"/>
        <v>24</v>
      </c>
      <c r="AG22" s="23" t="str">
        <f>IF(SUMPRODUCT($J$71:AF$71,$J22:AF22)&lt;0.5, "Pending", IF(AF22&lt;0.5, "Complete", "In Progress"))</f>
        <v>Pending</v>
      </c>
      <c r="AH22" s="22">
        <v>4</v>
      </c>
      <c r="AI22" s="22">
        <v>3</v>
      </c>
      <c r="AJ22" s="23" t="str">
        <f>IF(SUMPRODUCT($J$71:AI$71,$J22:AI22)&lt;0.5, "Pending", IF(AI22&lt;0.5, "Complete", "In Progress"))</f>
        <v>In Progress</v>
      </c>
      <c r="AK22" s="22">
        <v>0</v>
      </c>
      <c r="AL22" s="22">
        <f t="shared" si="9"/>
        <v>3</v>
      </c>
      <c r="AM22" s="23" t="str">
        <f>IF(SUMPRODUCT($J$71:AL$71,$J22:AL22)&lt;0.5, "Pending", IF(AL22&lt;0.5, "Complete", "In Progress"))</f>
        <v>In Progress</v>
      </c>
      <c r="AN22" s="22">
        <v>0</v>
      </c>
      <c r="AO22" s="22">
        <f t="shared" si="10"/>
        <v>3</v>
      </c>
      <c r="AP22" s="23" t="str">
        <f>IF(SUMPRODUCT($J$71:AO$71,$J22:AO22)&lt;0.5, "Pending", IF(AO22&lt;0.5, "Complete", "In Progress"))</f>
        <v>In Progress</v>
      </c>
      <c r="AQ22" s="22">
        <v>0</v>
      </c>
      <c r="AR22" s="22">
        <f t="shared" si="11"/>
        <v>3</v>
      </c>
      <c r="AS22" s="23" t="str">
        <f>IF(SUMPRODUCT($J$71:AR$71,$J22:AR22)&lt;0.5, "Pending", IF(AR22&lt;0.5, "Complete", "In Progress"))</f>
        <v>In Progress</v>
      </c>
      <c r="AT22" s="22">
        <v>0</v>
      </c>
      <c r="AU22" s="22">
        <f t="shared" si="12"/>
        <v>3</v>
      </c>
      <c r="AV22" s="23" t="str">
        <f>IF(SUMPRODUCT($J$71:AU$71,$J22:AU22)&lt;0.5, "Pending", IF(AU22&lt;0.5, "Complete", "In Progress"))</f>
        <v>In Progress</v>
      </c>
      <c r="AW22" s="22">
        <v>0</v>
      </c>
      <c r="AX22" s="22">
        <f t="shared" si="13"/>
        <v>3</v>
      </c>
      <c r="AY22" s="23" t="str">
        <f>IF(SUMPRODUCT($J$71:AX$71,$J22:AX22)&lt;0.5, "Pending", IF(AX22&lt;0.5, "Complete", "In Progress"))</f>
        <v>In Progress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4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5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6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7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8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9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20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21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22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4</v>
      </c>
    </row>
    <row r="23" spans="1:83" x14ac:dyDescent="0.25">
      <c r="A23" s="16" t="s">
        <v>121</v>
      </c>
      <c r="B23" s="16" t="s">
        <v>124</v>
      </c>
      <c r="C23" s="16" t="s">
        <v>130</v>
      </c>
      <c r="D23" s="17">
        <v>6</v>
      </c>
      <c r="E23" s="178" t="s">
        <v>142</v>
      </c>
      <c r="F23" s="18" t="s">
        <v>119</v>
      </c>
      <c r="G23" s="19" t="str">
        <f t="shared" ca="1" si="0"/>
        <v>Pending</v>
      </c>
      <c r="H23" s="20">
        <v>1</v>
      </c>
      <c r="I23" s="21">
        <v>24</v>
      </c>
      <c r="J23" s="22">
        <v>0</v>
      </c>
      <c r="K23" s="22">
        <f t="shared" si="1"/>
        <v>24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45"/>
        <v>24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"/>
        <v>24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3"/>
        <v>24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4"/>
        <v>24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5"/>
        <v>24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6"/>
        <v>24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7"/>
        <v>24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8"/>
        <v>24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9"/>
        <v>24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10"/>
        <v>24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11"/>
        <v>24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12"/>
        <v>24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13"/>
        <v>24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14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15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16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17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18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19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20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21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22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25">
      <c r="A24" s="16" t="s">
        <v>107</v>
      </c>
      <c r="B24" s="16" t="s">
        <v>124</v>
      </c>
      <c r="C24" s="16" t="s">
        <v>130</v>
      </c>
      <c r="D24" s="17">
        <v>6</v>
      </c>
      <c r="E24" s="178" t="s">
        <v>143</v>
      </c>
      <c r="F24" s="18" t="s">
        <v>117</v>
      </c>
      <c r="G24" s="19" t="str">
        <f t="shared" ca="1" si="0"/>
        <v>Pending</v>
      </c>
      <c r="H24" s="20">
        <v>1</v>
      </c>
      <c r="I24" s="21">
        <v>12</v>
      </c>
      <c r="J24" s="22">
        <v>0</v>
      </c>
      <c r="K24" s="22">
        <f t="shared" si="1"/>
        <v>12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45"/>
        <v>12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2"/>
        <v>12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3"/>
        <v>12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4"/>
        <v>12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5"/>
        <v>12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6"/>
        <v>12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7"/>
        <v>12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8"/>
        <v>12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9"/>
        <v>12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10"/>
        <v>12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11"/>
        <v>12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12"/>
        <v>12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13"/>
        <v>12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14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15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16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17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18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19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20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21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22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 x14ac:dyDescent="0.25">
      <c r="A25" s="16" t="s">
        <v>107</v>
      </c>
      <c r="B25" s="16" t="s">
        <v>124</v>
      </c>
      <c r="C25" s="16" t="s">
        <v>130</v>
      </c>
      <c r="D25" s="17">
        <v>6</v>
      </c>
      <c r="E25" s="178" t="s">
        <v>143</v>
      </c>
      <c r="F25" s="18" t="s">
        <v>119</v>
      </c>
      <c r="G25" s="19" t="str">
        <f t="shared" ca="1" si="0"/>
        <v>Pending</v>
      </c>
      <c r="H25" s="20">
        <v>1</v>
      </c>
      <c r="I25" s="21">
        <v>12</v>
      </c>
      <c r="J25" s="22">
        <v>0</v>
      </c>
      <c r="K25" s="22">
        <f t="shared" si="1"/>
        <v>12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45"/>
        <v>12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"/>
        <v>12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3"/>
        <v>12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4"/>
        <v>12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5"/>
        <v>12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6"/>
        <v>12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7"/>
        <v>12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8"/>
        <v>12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9"/>
        <v>12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10"/>
        <v>12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11"/>
        <v>12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12"/>
        <v>12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13"/>
        <v>12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14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15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16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17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18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19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20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21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22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25">
      <c r="A26" s="16" t="s">
        <v>122</v>
      </c>
      <c r="B26" s="16" t="s">
        <v>124</v>
      </c>
      <c r="C26" s="16" t="s">
        <v>130</v>
      </c>
      <c r="D26" s="17">
        <v>6</v>
      </c>
      <c r="E26" s="178" t="s">
        <v>144</v>
      </c>
      <c r="F26" s="18" t="s">
        <v>118</v>
      </c>
      <c r="G26" s="19" t="str">
        <f t="shared" ca="1" si="0"/>
        <v>In Progress</v>
      </c>
      <c r="H26" s="20">
        <v>1</v>
      </c>
      <c r="I26" s="21">
        <v>4</v>
      </c>
      <c r="J26" s="22">
        <v>0</v>
      </c>
      <c r="K26" s="22">
        <f t="shared" si="1"/>
        <v>4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si="45"/>
        <v>4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si="2"/>
        <v>4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si="3"/>
        <v>4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si="4"/>
        <v>4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si="5"/>
        <v>4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si="6"/>
        <v>4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si="7"/>
        <v>4</v>
      </c>
      <c r="AG26" s="23" t="str">
        <f>IF(SUMPRODUCT($J$71:AF$71,$J26:AF26)&lt;0.5, "Pending", IF(AF26&lt;0.5, "Complete", "In Progress"))</f>
        <v>Pending</v>
      </c>
      <c r="AH26" s="22">
        <v>4</v>
      </c>
      <c r="AI26" s="22">
        <v>1</v>
      </c>
      <c r="AJ26" s="23" t="str">
        <f>IF(SUMPRODUCT($J$71:AI$71,$J26:AI26)&lt;0.5, "Pending", IF(AI26&lt;0.5, "Complete", "In Progress"))</f>
        <v>In Progress</v>
      </c>
      <c r="AK26" s="22">
        <v>0</v>
      </c>
      <c r="AL26" s="22">
        <f t="shared" si="9"/>
        <v>1</v>
      </c>
      <c r="AM26" s="23" t="str">
        <f>IF(SUMPRODUCT($J$71:AL$71,$J26:AL26)&lt;0.5, "Pending", IF(AL26&lt;0.5, "Complete", "In Progress"))</f>
        <v>In Progress</v>
      </c>
      <c r="AN26" s="22">
        <v>0</v>
      </c>
      <c r="AO26" s="22">
        <f t="shared" si="10"/>
        <v>1</v>
      </c>
      <c r="AP26" s="23" t="str">
        <f>IF(SUMPRODUCT($J$71:AO$71,$J26:AO26)&lt;0.5, "Pending", IF(AO26&lt;0.5, "Complete", "In Progress"))</f>
        <v>In Progress</v>
      </c>
      <c r="AQ26" s="22">
        <v>0</v>
      </c>
      <c r="AR26" s="22">
        <f t="shared" si="11"/>
        <v>1</v>
      </c>
      <c r="AS26" s="23" t="str">
        <f>IF(SUMPRODUCT($J$71:AR$71,$J26:AR26)&lt;0.5, "Pending", IF(AR26&lt;0.5, "Complete", "In Progress"))</f>
        <v>In Progress</v>
      </c>
      <c r="AT26" s="22">
        <v>0</v>
      </c>
      <c r="AU26" s="22">
        <f t="shared" si="12"/>
        <v>1</v>
      </c>
      <c r="AV26" s="23" t="str">
        <f>IF(SUMPRODUCT($J$71:AU$71,$J26:AU26)&lt;0.5, "Pending", IF(AU26&lt;0.5, "Complete", "In Progress"))</f>
        <v>In Progress</v>
      </c>
      <c r="AW26" s="22">
        <v>0</v>
      </c>
      <c r="AX26" s="22">
        <f t="shared" si="13"/>
        <v>1</v>
      </c>
      <c r="AY26" s="23" t="str">
        <f>IF(SUMPRODUCT($J$71:AX$71,$J26:AX26)&lt;0.5, "Pending", IF(AX26&lt;0.5, "Complete", "In Progress"))</f>
        <v>In Progress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si="14"/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si="15"/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si="16"/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si="17"/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si="18"/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si="19"/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si="20"/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si="21"/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si="22"/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4</v>
      </c>
    </row>
    <row r="27" spans="1:83" x14ac:dyDescent="0.25">
      <c r="A27" s="16" t="s">
        <v>122</v>
      </c>
      <c r="B27" s="16" t="s">
        <v>124</v>
      </c>
      <c r="C27" s="16" t="s">
        <v>130</v>
      </c>
      <c r="D27" s="17">
        <v>6</v>
      </c>
      <c r="E27" s="178" t="s">
        <v>144</v>
      </c>
      <c r="F27" s="18" t="s">
        <v>117</v>
      </c>
      <c r="G27" s="19" t="str">
        <f t="shared" ca="1" si="0"/>
        <v>In Progress</v>
      </c>
      <c r="H27" s="20">
        <v>1</v>
      </c>
      <c r="I27" s="21">
        <v>4</v>
      </c>
      <c r="J27" s="22">
        <v>0</v>
      </c>
      <c r="K27" s="22">
        <f t="shared" si="1"/>
        <v>4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45"/>
        <v>4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"/>
        <v>4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3"/>
        <v>4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4"/>
        <v>4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5"/>
        <v>4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6"/>
        <v>4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7"/>
        <v>4</v>
      </c>
      <c r="AG27" s="23" t="str">
        <f>IF(SUMPRODUCT($J$71:AF$71,$J27:AF27)&lt;0.5, "Pending", IF(AF27&lt;0.5, "Complete", "In Progress"))</f>
        <v>Pending</v>
      </c>
      <c r="AH27" s="22">
        <v>4</v>
      </c>
      <c r="AI27" s="22">
        <v>1</v>
      </c>
      <c r="AJ27" s="23" t="str">
        <f>IF(SUMPRODUCT($J$71:AI$71,$J27:AI27)&lt;0.5, "Pending", IF(AI27&lt;0.5, "Complete", "In Progress"))</f>
        <v>In Progress</v>
      </c>
      <c r="AK27" s="22">
        <v>0</v>
      </c>
      <c r="AL27" s="22">
        <f t="shared" si="9"/>
        <v>1</v>
      </c>
      <c r="AM27" s="23" t="str">
        <f>IF(SUMPRODUCT($J$71:AL$71,$J27:AL27)&lt;0.5, "Pending", IF(AL27&lt;0.5, "Complete", "In Progress"))</f>
        <v>In Progress</v>
      </c>
      <c r="AN27" s="22">
        <v>0</v>
      </c>
      <c r="AO27" s="22">
        <f t="shared" si="10"/>
        <v>1</v>
      </c>
      <c r="AP27" s="23" t="str">
        <f>IF(SUMPRODUCT($J$71:AO$71,$J27:AO27)&lt;0.5, "Pending", IF(AO27&lt;0.5, "Complete", "In Progress"))</f>
        <v>In Progress</v>
      </c>
      <c r="AQ27" s="22">
        <v>0</v>
      </c>
      <c r="AR27" s="22">
        <f t="shared" si="11"/>
        <v>1</v>
      </c>
      <c r="AS27" s="23" t="str">
        <f>IF(SUMPRODUCT($J$71:AR$71,$J27:AR27)&lt;0.5, "Pending", IF(AR27&lt;0.5, "Complete", "In Progress"))</f>
        <v>In Progress</v>
      </c>
      <c r="AT27" s="22">
        <v>0</v>
      </c>
      <c r="AU27" s="22">
        <f t="shared" si="12"/>
        <v>1</v>
      </c>
      <c r="AV27" s="23" t="str">
        <f>IF(SUMPRODUCT($J$71:AU$71,$J27:AU27)&lt;0.5, "Pending", IF(AU27&lt;0.5, "Complete", "In Progress"))</f>
        <v>In Progress</v>
      </c>
      <c r="AW27" s="22">
        <v>0</v>
      </c>
      <c r="AX27" s="22">
        <f t="shared" si="13"/>
        <v>1</v>
      </c>
      <c r="AY27" s="23" t="str">
        <f>IF(SUMPRODUCT($J$71:AX$71,$J27:AX27)&lt;0.5, "Pending", IF(AX27&lt;0.5, "Complete", "In Progress"))</f>
        <v>In Progress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14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15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16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17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18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19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20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21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22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4</v>
      </c>
    </row>
    <row r="28" spans="1:83" x14ac:dyDescent="0.25">
      <c r="A28" s="16" t="s">
        <v>122</v>
      </c>
      <c r="B28" s="16" t="s">
        <v>124</v>
      </c>
      <c r="C28" s="16" t="s">
        <v>130</v>
      </c>
      <c r="D28" s="17">
        <v>6</v>
      </c>
      <c r="E28" s="178" t="s">
        <v>144</v>
      </c>
      <c r="F28" s="18" t="s">
        <v>119</v>
      </c>
      <c r="G28" s="19" t="str">
        <f t="shared" ca="1" si="0"/>
        <v>Pending</v>
      </c>
      <c r="H28" s="20">
        <v>1</v>
      </c>
      <c r="I28" s="21">
        <v>4</v>
      </c>
      <c r="J28" s="22">
        <v>0</v>
      </c>
      <c r="K28" s="22">
        <f t="shared" si="1"/>
        <v>4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45"/>
        <v>4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"/>
        <v>4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3"/>
        <v>4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4"/>
        <v>4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5"/>
        <v>4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6"/>
        <v>4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7"/>
        <v>4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8"/>
        <v>4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9"/>
        <v>4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10"/>
        <v>4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11"/>
        <v>4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12"/>
        <v>4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13"/>
        <v>4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14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15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16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17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18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19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20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21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22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25">
      <c r="A29" s="16" t="s">
        <v>121</v>
      </c>
      <c r="B29" s="16" t="s">
        <v>124</v>
      </c>
      <c r="C29" s="16" t="s">
        <v>130</v>
      </c>
      <c r="D29" s="17">
        <v>7</v>
      </c>
      <c r="E29" s="178" t="s">
        <v>145</v>
      </c>
      <c r="F29" s="18" t="s">
        <v>120</v>
      </c>
      <c r="G29" s="19" t="str">
        <f t="shared" ca="1" si="0"/>
        <v>Pending</v>
      </c>
      <c r="H29" s="20">
        <v>1</v>
      </c>
      <c r="I29" s="21">
        <v>24</v>
      </c>
      <c r="J29" s="22">
        <v>0</v>
      </c>
      <c r="K29" s="22">
        <f t="shared" si="1"/>
        <v>24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45"/>
        <v>24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"/>
        <v>24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3"/>
        <v>24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4"/>
        <v>24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5"/>
        <v>24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6"/>
        <v>24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7"/>
        <v>24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8"/>
        <v>24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9"/>
        <v>24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10"/>
        <v>24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11"/>
        <v>24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12"/>
        <v>24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13"/>
        <v>24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14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15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16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17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18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19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20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21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22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25">
      <c r="A30" s="16" t="s">
        <v>107</v>
      </c>
      <c r="B30" s="16" t="s">
        <v>124</v>
      </c>
      <c r="C30" s="16" t="s">
        <v>130</v>
      </c>
      <c r="D30" s="17">
        <v>7</v>
      </c>
      <c r="E30" s="178" t="s">
        <v>146</v>
      </c>
      <c r="F30" s="18" t="s">
        <v>120</v>
      </c>
      <c r="G30" s="19" t="str">
        <f t="shared" ca="1" si="0"/>
        <v>Pending</v>
      </c>
      <c r="H30" s="20">
        <v>1</v>
      </c>
      <c r="I30" s="21">
        <v>12</v>
      </c>
      <c r="J30" s="22">
        <v>0</v>
      </c>
      <c r="K30" s="22">
        <f t="shared" si="1"/>
        <v>12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45"/>
        <v>12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"/>
        <v>12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3"/>
        <v>12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4"/>
        <v>12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5"/>
        <v>12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6"/>
        <v>12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7"/>
        <v>12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8"/>
        <v>12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9"/>
        <v>12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10"/>
        <v>12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11"/>
        <v>12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12"/>
        <v>12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13"/>
        <v>12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14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15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16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17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18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19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20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21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22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25">
      <c r="A31" s="16" t="s">
        <v>122</v>
      </c>
      <c r="B31" s="16" t="s">
        <v>124</v>
      </c>
      <c r="C31" s="16" t="s">
        <v>130</v>
      </c>
      <c r="D31" s="17">
        <v>7</v>
      </c>
      <c r="E31" s="178" t="s">
        <v>147</v>
      </c>
      <c r="F31" s="18" t="s">
        <v>118</v>
      </c>
      <c r="G31" s="19" t="str">
        <f t="shared" ca="1" si="0"/>
        <v>Pending</v>
      </c>
      <c r="H31" s="20">
        <v>1</v>
      </c>
      <c r="I31" s="21">
        <v>4</v>
      </c>
      <c r="J31" s="22">
        <v>0</v>
      </c>
      <c r="K31" s="22">
        <f t="shared" si="1"/>
        <v>4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45"/>
        <v>4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"/>
        <v>4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3"/>
        <v>4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4"/>
        <v>4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5"/>
        <v>4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6"/>
        <v>4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7"/>
        <v>4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8"/>
        <v>4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9"/>
        <v>4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10"/>
        <v>4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11"/>
        <v>4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12"/>
        <v>4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13"/>
        <v>4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14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15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16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17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18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19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20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21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22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25">
      <c r="A32" s="16" t="s">
        <v>122</v>
      </c>
      <c r="B32" s="16" t="s">
        <v>124</v>
      </c>
      <c r="C32" s="16" t="s">
        <v>130</v>
      </c>
      <c r="D32" s="17">
        <v>7</v>
      </c>
      <c r="E32" s="178" t="s">
        <v>147</v>
      </c>
      <c r="F32" s="18" t="s">
        <v>120</v>
      </c>
      <c r="G32" s="19" t="str">
        <f t="shared" ca="1" si="0"/>
        <v>Pending</v>
      </c>
      <c r="H32" s="20">
        <v>1</v>
      </c>
      <c r="I32" s="21">
        <v>4</v>
      </c>
      <c r="J32" s="22">
        <v>0</v>
      </c>
      <c r="K32" s="22">
        <f t="shared" si="1"/>
        <v>4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45"/>
        <v>4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"/>
        <v>4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3"/>
        <v>4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4"/>
        <v>4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5"/>
        <v>4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6"/>
        <v>4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7"/>
        <v>4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8"/>
        <v>4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9"/>
        <v>4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10"/>
        <v>4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11"/>
        <v>4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12"/>
        <v>4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13"/>
        <v>4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14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15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16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17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18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19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20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21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22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25">
      <c r="A33" s="16" t="s">
        <v>121</v>
      </c>
      <c r="B33" s="16" t="s">
        <v>124</v>
      </c>
      <c r="C33" s="16" t="s">
        <v>130</v>
      </c>
      <c r="D33" s="17">
        <v>8</v>
      </c>
      <c r="E33" s="178" t="s">
        <v>148</v>
      </c>
      <c r="F33" s="18" t="s">
        <v>116</v>
      </c>
      <c r="G33" s="19" t="str">
        <f t="shared" ca="1" si="0"/>
        <v>Pending</v>
      </c>
      <c r="H33" s="20">
        <v>1</v>
      </c>
      <c r="I33" s="21">
        <v>8</v>
      </c>
      <c r="J33" s="22">
        <v>0</v>
      </c>
      <c r="K33" s="22">
        <f t="shared" si="1"/>
        <v>8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45"/>
        <v>8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"/>
        <v>8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3"/>
        <v>8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4"/>
        <v>8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5"/>
        <v>8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6"/>
        <v>8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7"/>
        <v>8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8"/>
        <v>8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9"/>
        <v>8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10"/>
        <v>8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11"/>
        <v>8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12"/>
        <v>8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13"/>
        <v>8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14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15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16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17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18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19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20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21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22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25">
      <c r="A34" s="16" t="s">
        <v>107</v>
      </c>
      <c r="B34" s="16" t="s">
        <v>124</v>
      </c>
      <c r="C34" s="16" t="s">
        <v>130</v>
      </c>
      <c r="D34" s="17">
        <v>8</v>
      </c>
      <c r="E34" s="178" t="s">
        <v>149</v>
      </c>
      <c r="F34" s="18" t="s">
        <v>116</v>
      </c>
      <c r="G34" s="19" t="str">
        <f t="shared" ca="1" si="0"/>
        <v>Pending</v>
      </c>
      <c r="H34" s="20">
        <v>1</v>
      </c>
      <c r="I34" s="21">
        <v>4</v>
      </c>
      <c r="J34" s="22">
        <v>0</v>
      </c>
      <c r="K34" s="22">
        <f t="shared" si="1"/>
        <v>4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45"/>
        <v>4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"/>
        <v>4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3"/>
        <v>4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4"/>
        <v>4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5"/>
        <v>4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6"/>
        <v>4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7"/>
        <v>4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8"/>
        <v>4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9"/>
        <v>4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10"/>
        <v>4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11"/>
        <v>4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12"/>
        <v>4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13"/>
        <v>4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14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15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16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17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18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19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20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21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22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25">
      <c r="A35" s="16" t="s">
        <v>122</v>
      </c>
      <c r="B35" s="16" t="s">
        <v>124</v>
      </c>
      <c r="C35" s="16" t="s">
        <v>130</v>
      </c>
      <c r="D35" s="17">
        <v>8</v>
      </c>
      <c r="E35" s="178" t="s">
        <v>150</v>
      </c>
      <c r="F35" s="18" t="s">
        <v>118</v>
      </c>
      <c r="G35" s="19" t="str">
        <f t="shared" ca="1" si="0"/>
        <v>Pending</v>
      </c>
      <c r="H35" s="20">
        <v>1</v>
      </c>
      <c r="I35" s="21">
        <v>2</v>
      </c>
      <c r="J35" s="22">
        <v>0</v>
      </c>
      <c r="K35" s="22">
        <f t="shared" si="1"/>
        <v>2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45"/>
        <v>2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"/>
        <v>2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3"/>
        <v>2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4"/>
        <v>2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5"/>
        <v>2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6"/>
        <v>2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7"/>
        <v>2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8"/>
        <v>2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9"/>
        <v>2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10"/>
        <v>2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11"/>
        <v>2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12"/>
        <v>2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13"/>
        <v>2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14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15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16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17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18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19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20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21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22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25">
      <c r="A36" s="16" t="s">
        <v>122</v>
      </c>
      <c r="B36" s="16" t="s">
        <v>124</v>
      </c>
      <c r="C36" s="16" t="s">
        <v>130</v>
      </c>
      <c r="D36" s="17">
        <v>8</v>
      </c>
      <c r="E36" s="178" t="s">
        <v>150</v>
      </c>
      <c r="F36" s="18" t="s">
        <v>116</v>
      </c>
      <c r="G36" s="19" t="str">
        <f t="shared" ca="1" si="0"/>
        <v>Pending</v>
      </c>
      <c r="H36" s="20">
        <v>1</v>
      </c>
      <c r="I36" s="21">
        <v>2</v>
      </c>
      <c r="J36" s="22">
        <v>0</v>
      </c>
      <c r="K36" s="22">
        <f t="shared" si="1"/>
        <v>2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45"/>
        <v>2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"/>
        <v>2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3"/>
        <v>2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4"/>
        <v>2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5"/>
        <v>2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6"/>
        <v>2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7"/>
        <v>2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8"/>
        <v>2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9"/>
        <v>2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10"/>
        <v>2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11"/>
        <v>2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12"/>
        <v>2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13"/>
        <v>2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14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15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16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17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18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19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20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21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22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25">
      <c r="A37" s="16" t="s">
        <v>151</v>
      </c>
      <c r="B37" s="16" t="s">
        <v>123</v>
      </c>
      <c r="C37" s="16" t="s">
        <v>130</v>
      </c>
      <c r="D37" s="17">
        <v>9</v>
      </c>
      <c r="E37" s="178" t="s">
        <v>152</v>
      </c>
      <c r="F37" s="18" t="s">
        <v>119</v>
      </c>
      <c r="G37" s="19" t="str">
        <f t="shared" ca="1" si="0"/>
        <v>Pending</v>
      </c>
      <c r="H37" s="20">
        <v>1</v>
      </c>
      <c r="I37" s="21">
        <v>8</v>
      </c>
      <c r="J37" s="22">
        <v>0</v>
      </c>
      <c r="K37" s="22">
        <f t="shared" si="1"/>
        <v>8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45"/>
        <v>8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"/>
        <v>8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3"/>
        <v>8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4"/>
        <v>8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5"/>
        <v>8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6"/>
        <v>8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7"/>
        <v>8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8"/>
        <v>8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9"/>
        <v>8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10"/>
        <v>8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11"/>
        <v>8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12"/>
        <v>8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13"/>
        <v>8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14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15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16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17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18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19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20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21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22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25">
      <c r="A38" s="16" t="s">
        <v>151</v>
      </c>
      <c r="B38" s="16" t="s">
        <v>123</v>
      </c>
      <c r="C38" s="16" t="s">
        <v>130</v>
      </c>
      <c r="D38" s="17">
        <v>9</v>
      </c>
      <c r="E38" s="178" t="s">
        <v>152</v>
      </c>
      <c r="F38" s="18" t="s">
        <v>120</v>
      </c>
      <c r="G38" s="19" t="str">
        <f t="shared" ca="1" si="0"/>
        <v>Pending</v>
      </c>
      <c r="H38" s="20">
        <v>1</v>
      </c>
      <c r="I38" s="21">
        <v>8</v>
      </c>
      <c r="J38" s="22">
        <v>0</v>
      </c>
      <c r="K38" s="22">
        <f t="shared" si="1"/>
        <v>8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45"/>
        <v>8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"/>
        <v>8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3"/>
        <v>8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4"/>
        <v>8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5"/>
        <v>8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6"/>
        <v>8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7"/>
        <v>8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8"/>
        <v>8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9"/>
        <v>8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10"/>
        <v>8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11"/>
        <v>8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12"/>
        <v>8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13"/>
        <v>8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14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15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16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17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18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19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20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21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22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25">
      <c r="A39" s="16" t="s">
        <v>151</v>
      </c>
      <c r="B39" s="16" t="s">
        <v>123</v>
      </c>
      <c r="C39" s="16" t="s">
        <v>130</v>
      </c>
      <c r="D39" s="17">
        <v>9</v>
      </c>
      <c r="E39" s="178" t="s">
        <v>152</v>
      </c>
      <c r="F39" s="18" t="s">
        <v>117</v>
      </c>
      <c r="G39" s="19" t="str">
        <f t="shared" ca="1" si="0"/>
        <v>Pending</v>
      </c>
      <c r="H39" s="20">
        <v>1</v>
      </c>
      <c r="I39" s="21">
        <v>8</v>
      </c>
      <c r="J39" s="22">
        <v>0</v>
      </c>
      <c r="K39" s="22">
        <f t="shared" si="1"/>
        <v>8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45"/>
        <v>8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"/>
        <v>8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3"/>
        <v>8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4"/>
        <v>8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5"/>
        <v>8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6"/>
        <v>8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7"/>
        <v>8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8"/>
        <v>8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9"/>
        <v>8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10"/>
        <v>8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11"/>
        <v>8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12"/>
        <v>8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13"/>
        <v>8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14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15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16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17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18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19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20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21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22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25">
      <c r="A40" s="16" t="s">
        <v>121</v>
      </c>
      <c r="B40" s="16" t="s">
        <v>123</v>
      </c>
      <c r="C40" s="16" t="s">
        <v>130</v>
      </c>
      <c r="D40" s="17">
        <v>10</v>
      </c>
      <c r="E40" s="178" t="s">
        <v>153</v>
      </c>
      <c r="F40" s="18" t="s">
        <v>120</v>
      </c>
      <c r="G40" s="19" t="str">
        <f t="shared" ca="1" si="0"/>
        <v>Pending</v>
      </c>
      <c r="H40" s="20">
        <v>1</v>
      </c>
      <c r="I40" s="21">
        <v>8</v>
      </c>
      <c r="J40" s="22">
        <v>0</v>
      </c>
      <c r="K40" s="22">
        <f t="shared" si="1"/>
        <v>8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45"/>
        <v>8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"/>
        <v>8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3"/>
        <v>8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4"/>
        <v>8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5"/>
        <v>8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6"/>
        <v>8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7"/>
        <v>8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8"/>
        <v>8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9"/>
        <v>8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10"/>
        <v>8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11"/>
        <v>8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12"/>
        <v>8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13"/>
        <v>8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14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15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16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17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18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19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20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21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22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25">
      <c r="A41" s="16" t="s">
        <v>121</v>
      </c>
      <c r="B41" s="16" t="s">
        <v>123</v>
      </c>
      <c r="C41" s="16" t="s">
        <v>130</v>
      </c>
      <c r="D41" s="17">
        <v>11</v>
      </c>
      <c r="E41" s="178" t="s">
        <v>154</v>
      </c>
      <c r="F41" s="18" t="s">
        <v>119</v>
      </c>
      <c r="G41" s="19" t="str">
        <f t="shared" ca="1" si="0"/>
        <v>Pending</v>
      </c>
      <c r="H41" s="20">
        <v>1</v>
      </c>
      <c r="I41" s="21">
        <v>8</v>
      </c>
      <c r="J41" s="22">
        <v>0</v>
      </c>
      <c r="K41" s="22">
        <f t="shared" si="1"/>
        <v>8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45"/>
        <v>8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"/>
        <v>8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3"/>
        <v>8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4"/>
        <v>8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5"/>
        <v>8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6"/>
        <v>8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7"/>
        <v>8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8"/>
        <v>8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9"/>
        <v>8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10"/>
        <v>8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11"/>
        <v>8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12"/>
        <v>8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13"/>
        <v>8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14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15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16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17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18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19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20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21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22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25">
      <c r="A42" s="16" t="s">
        <v>121</v>
      </c>
      <c r="B42" s="16" t="s">
        <v>123</v>
      </c>
      <c r="C42" s="16" t="s">
        <v>130</v>
      </c>
      <c r="D42" s="17">
        <v>12</v>
      </c>
      <c r="E42" s="178" t="s">
        <v>155</v>
      </c>
      <c r="F42" s="18" t="s">
        <v>119</v>
      </c>
      <c r="G42" s="19" t="str">
        <f t="shared" ca="1" si="0"/>
        <v>Pending</v>
      </c>
      <c r="H42" s="20">
        <v>1</v>
      </c>
      <c r="I42" s="21">
        <v>8</v>
      </c>
      <c r="J42" s="22">
        <v>0</v>
      </c>
      <c r="K42" s="22">
        <f t="shared" ref="K42:K43" si="46">MAX(I42-J42, 0)</f>
        <v>8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ref="N42:N43" si="47">MAX(K42-M42,0)</f>
        <v>8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ref="Q42:Q43" si="48">MAX(N42-P42,0)</f>
        <v>8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ref="T42:T43" si="49">MAX(Q42-S42,0)</f>
        <v>8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ref="W42:W43" si="50">MAX(T42-V42,0)</f>
        <v>8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ref="Z42:Z43" si="51">MAX(W42-Y42,0)</f>
        <v>8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ref="AC42:AC43" si="52">MAX(Z42-AB42,0)</f>
        <v>8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ref="AF42:AF43" si="53">MAX(AC42-AE42,0)</f>
        <v>8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ref="AI42:AI43" si="54">MAX(AF42-AH42,0)</f>
        <v>8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ref="AL42:AL43" si="55">MAX(AI42-AK42,0)</f>
        <v>8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ref="AO42:AO43" si="56">MAX(AL42-AN42,0)</f>
        <v>8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ref="AR42:AR43" si="57">MAX(AO42-AQ42,0)</f>
        <v>8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ref="AU42:AU43" si="58">MAX(AR42-AT42,0)</f>
        <v>8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ref="AX42:AX43" si="59">MAX(AU42-AW42,0)</f>
        <v>8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ref="BD42:BD43" si="60">MAX(BA42-BC42,0)</f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ref="BG42:BG43" si="61">MAX(BD42-BF42,0)</f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ref="BJ42:BJ43" si="62">MAX(BG42-BI42,0)</f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ref="BM42:BM43" si="63">MAX(BJ42-BL42,0)</f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ref="BP42:BP43" si="64">MAX(BM42-BO42,0)</f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ref="BS42:BS43" si="65">MAX(BP42-BR42,0)</f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ref="BV42:BV43" si="66">MAX(BS42-BU42,0)</f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ref="BY42:BY43" si="67">MAX(BV42-BX42,0)</f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ref="CB42:CB43" si="68">MAX(BY42-CA42,0)</f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25">
      <c r="A43" s="16" t="s">
        <v>122</v>
      </c>
      <c r="B43" s="16" t="s">
        <v>123</v>
      </c>
      <c r="C43" s="16" t="s">
        <v>130</v>
      </c>
      <c r="D43" s="17">
        <v>13</v>
      </c>
      <c r="E43" s="178" t="s">
        <v>157</v>
      </c>
      <c r="F43" s="18" t="s">
        <v>118</v>
      </c>
      <c r="G43" s="19" t="str">
        <f t="shared" ca="1" si="0"/>
        <v>Pending</v>
      </c>
      <c r="H43" s="20">
        <v>1</v>
      </c>
      <c r="I43" s="21">
        <v>3</v>
      </c>
      <c r="J43" s="22">
        <v>0</v>
      </c>
      <c r="K43" s="22">
        <f t="shared" si="46"/>
        <v>3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47"/>
        <v>3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48"/>
        <v>3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49"/>
        <v>3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50"/>
        <v>3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51"/>
        <v>3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52"/>
        <v>3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53"/>
        <v>3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54"/>
        <v>3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55"/>
        <v>3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56"/>
        <v>3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57"/>
        <v>3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58"/>
        <v>3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59"/>
        <v>3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60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61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62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63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64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65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66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67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68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25">
      <c r="A44" s="16" t="s">
        <v>122</v>
      </c>
      <c r="B44" s="16" t="s">
        <v>123</v>
      </c>
      <c r="C44" s="16" t="s">
        <v>130</v>
      </c>
      <c r="D44" s="17">
        <v>13</v>
      </c>
      <c r="E44" s="178" t="s">
        <v>157</v>
      </c>
      <c r="F44" s="18" t="s">
        <v>119</v>
      </c>
      <c r="G44" s="19" t="str">
        <f t="shared" ca="1" si="0"/>
        <v>Pending</v>
      </c>
      <c r="H44" s="20">
        <v>1</v>
      </c>
      <c r="I44" s="21">
        <v>3</v>
      </c>
      <c r="J44" s="22">
        <v>0</v>
      </c>
      <c r="K44" s="22">
        <f t="shared" si="1"/>
        <v>3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45"/>
        <v>3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"/>
        <v>3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3"/>
        <v>3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4"/>
        <v>3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5"/>
        <v>3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6"/>
        <v>3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7"/>
        <v>3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8"/>
        <v>3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9"/>
        <v>3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10"/>
        <v>3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11"/>
        <v>3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12"/>
        <v>3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13"/>
        <v>3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14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15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16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17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18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19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20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21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22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25">
      <c r="A45" s="16" t="s">
        <v>121</v>
      </c>
      <c r="B45" s="16" t="s">
        <v>123</v>
      </c>
      <c r="C45" s="16" t="s">
        <v>130</v>
      </c>
      <c r="D45" s="17">
        <v>14</v>
      </c>
      <c r="E45" s="178" t="s">
        <v>156</v>
      </c>
      <c r="F45" s="18" t="s">
        <v>117</v>
      </c>
      <c r="G45" s="19" t="str">
        <f t="shared" ca="1" si="0"/>
        <v>Pending</v>
      </c>
      <c r="H45" s="20">
        <v>1</v>
      </c>
      <c r="I45" s="21">
        <v>20</v>
      </c>
      <c r="J45" s="22">
        <v>0</v>
      </c>
      <c r="K45" s="22">
        <f t="shared" si="1"/>
        <v>20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45"/>
        <v>20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"/>
        <v>20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3"/>
        <v>20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4"/>
        <v>20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5"/>
        <v>20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6"/>
        <v>20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7"/>
        <v>20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8"/>
        <v>20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9"/>
        <v>20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10"/>
        <v>20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11"/>
        <v>20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12"/>
        <v>20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13"/>
        <v>20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14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15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16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17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18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19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20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21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22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25">
      <c r="A46" s="16" t="s">
        <v>121</v>
      </c>
      <c r="B46" s="16" t="s">
        <v>123</v>
      </c>
      <c r="C46" s="16" t="s">
        <v>130</v>
      </c>
      <c r="D46" s="17">
        <v>14</v>
      </c>
      <c r="E46" s="178" t="s">
        <v>156</v>
      </c>
      <c r="F46" s="18" t="s">
        <v>119</v>
      </c>
      <c r="G46" s="19" t="str">
        <f t="shared" ca="1" si="0"/>
        <v>Pending</v>
      </c>
      <c r="H46" s="20">
        <v>1</v>
      </c>
      <c r="I46" s="21">
        <v>20</v>
      </c>
      <c r="J46" s="22">
        <v>0</v>
      </c>
      <c r="K46" s="22">
        <f t="shared" si="1"/>
        <v>20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45"/>
        <v>20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"/>
        <v>20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3"/>
        <v>20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4"/>
        <v>20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5"/>
        <v>20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6"/>
        <v>20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7"/>
        <v>20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8"/>
        <v>20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9"/>
        <v>20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10"/>
        <v>20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11"/>
        <v>20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12"/>
        <v>20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13"/>
        <v>20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14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15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16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17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18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19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20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21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22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25">
      <c r="A47" s="16" t="s">
        <v>121</v>
      </c>
      <c r="B47" s="16" t="s">
        <v>123</v>
      </c>
      <c r="C47" s="16" t="s">
        <v>130</v>
      </c>
      <c r="D47" s="17">
        <v>14</v>
      </c>
      <c r="E47" s="178" t="s">
        <v>156</v>
      </c>
      <c r="F47" s="18" t="s">
        <v>120</v>
      </c>
      <c r="G47" s="19" t="str">
        <f t="shared" ca="1" si="0"/>
        <v>Pending</v>
      </c>
      <c r="H47" s="20">
        <v>1</v>
      </c>
      <c r="I47" s="21">
        <v>20</v>
      </c>
      <c r="J47" s="22">
        <v>0</v>
      </c>
      <c r="K47" s="22">
        <f t="shared" ref="K47:K50" si="69">MAX(I47-J47, 0)</f>
        <v>20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ref="N47:N50" si="70">MAX(K47-M47,0)</f>
        <v>20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ref="Q47:Q50" si="71">MAX(N47-P47,0)</f>
        <v>20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ref="T47:T50" si="72">MAX(Q47-S47,0)</f>
        <v>20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ref="W47:W50" si="73">MAX(T47-V47,0)</f>
        <v>20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ref="Z47:Z50" si="74">MAX(W47-Y47,0)</f>
        <v>20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ref="AC47:AC50" si="75">MAX(Z47-AB47,0)</f>
        <v>20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ref="AF47:AF50" si="76">MAX(AC47-AE47,0)</f>
        <v>20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ref="AI47:AI50" si="77">MAX(AF47-AH47,0)</f>
        <v>20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ref="AL47:AL50" si="78">MAX(AI47-AK47,0)</f>
        <v>20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ref="AO47:AO50" si="79">MAX(AL47-AN47,0)</f>
        <v>20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ref="AR47:AR50" si="80">MAX(AO47-AQ47,0)</f>
        <v>20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ref="AU47:AU50" si="81">MAX(AR47-AT47,0)</f>
        <v>20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ref="AX47:AX50" si="82">MAX(AU47-AW47,0)</f>
        <v>20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ref="BD47:BD50" si="83">MAX(BA47-BC47,0)</f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ref="BG47:BG50" si="84">MAX(BD47-BF47,0)</f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ref="BJ47:BJ50" si="85">MAX(BG47-BI47,0)</f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ref="BM47:BM50" si="86">MAX(BJ47-BL47,0)</f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ref="BP47:BP50" si="87">MAX(BM47-BO47,0)</f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ref="BS47:BS50" si="88">MAX(BP47-BR47,0)</f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ref="BV47:BV50" si="89">MAX(BS47-BU47,0)</f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ref="BY47:BY50" si="90">MAX(BV47-BX47,0)</f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ref="CB47:CB50" si="91">MAX(BY47-CA47,0)</f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25">
      <c r="A48" s="16" t="s">
        <v>122</v>
      </c>
      <c r="B48" s="16" t="s">
        <v>123</v>
      </c>
      <c r="C48" s="16" t="s">
        <v>130</v>
      </c>
      <c r="D48" s="17">
        <v>14</v>
      </c>
      <c r="E48" s="178" t="s">
        <v>158</v>
      </c>
      <c r="F48" s="18" t="s">
        <v>117</v>
      </c>
      <c r="G48" s="19" t="str">
        <f t="shared" ca="1" si="0"/>
        <v>Pending</v>
      </c>
      <c r="H48" s="20">
        <v>1</v>
      </c>
      <c r="I48" s="21">
        <v>20</v>
      </c>
      <c r="J48" s="22">
        <v>0</v>
      </c>
      <c r="K48" s="22">
        <f t="shared" si="69"/>
        <v>20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70"/>
        <v>20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71"/>
        <v>20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72"/>
        <v>20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73"/>
        <v>20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74"/>
        <v>20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75"/>
        <v>20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76"/>
        <v>20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77"/>
        <v>20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78"/>
        <v>20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79"/>
        <v>20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80"/>
        <v>20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81"/>
        <v>20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82"/>
        <v>20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83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84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85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86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87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88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89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90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91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25">
      <c r="A49" s="16" t="s">
        <v>122</v>
      </c>
      <c r="B49" s="16" t="s">
        <v>123</v>
      </c>
      <c r="C49" s="16" t="s">
        <v>130</v>
      </c>
      <c r="D49" s="17">
        <v>14</v>
      </c>
      <c r="E49" s="178" t="s">
        <v>158</v>
      </c>
      <c r="F49" s="18" t="s">
        <v>118</v>
      </c>
      <c r="G49" s="19" t="str">
        <f t="shared" ca="1" si="0"/>
        <v>Pending</v>
      </c>
      <c r="H49" s="20">
        <v>1</v>
      </c>
      <c r="I49" s="21">
        <v>20</v>
      </c>
      <c r="J49" s="22">
        <v>0</v>
      </c>
      <c r="K49" s="22">
        <f t="shared" ref="K49" si="92">MAX(I49-J49, 0)</f>
        <v>20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ref="N49" si="93">MAX(K49-M49,0)</f>
        <v>20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ref="Q49" si="94">MAX(N49-P49,0)</f>
        <v>20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ref="T49" si="95">MAX(Q49-S49,0)</f>
        <v>20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ref="W49" si="96">MAX(T49-V49,0)</f>
        <v>20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ref="Z49" si="97">MAX(W49-Y49,0)</f>
        <v>20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ref="AC49" si="98">MAX(Z49-AB49,0)</f>
        <v>20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ref="AF49" si="99">MAX(AC49-AE49,0)</f>
        <v>20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ref="AI49" si="100">MAX(AF49-AH49,0)</f>
        <v>20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ref="AL49" si="101">MAX(AI49-AK49,0)</f>
        <v>20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ref="AO49" si="102">MAX(AL49-AN49,0)</f>
        <v>20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ref="AR49" si="103">MAX(AO49-AQ49,0)</f>
        <v>20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ref="AU49" si="104">MAX(AR49-AT49,0)</f>
        <v>20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ref="AX49" si="105">MAX(AU49-AW49,0)</f>
        <v>20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ref="BD49" si="106">MAX(BA49-BC49,0)</f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ref="BG49" si="107">MAX(BD49-BF49,0)</f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ref="BJ49" si="108">MAX(BG49-BI49,0)</f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ref="BM49" si="109">MAX(BJ49-BL49,0)</f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ref="BP49" si="110">MAX(BM49-BO49,0)</f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ref="BS49" si="111">MAX(BP49-BR49,0)</f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ref="BV49" si="112">MAX(BS49-BU49,0)</f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ref="BY49" si="113">MAX(BV49-BX49,0)</f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ref="CB49" si="114">MAX(BY49-CA49,0)</f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25">
      <c r="A50" s="16" t="s">
        <v>122</v>
      </c>
      <c r="B50" s="16" t="s">
        <v>123</v>
      </c>
      <c r="C50" s="16" t="s">
        <v>130</v>
      </c>
      <c r="D50" s="17">
        <v>14</v>
      </c>
      <c r="E50" s="178" t="s">
        <v>158</v>
      </c>
      <c r="F50" s="18" t="s">
        <v>119</v>
      </c>
      <c r="G50" s="19" t="str">
        <f t="shared" ca="1" si="0"/>
        <v>Pending</v>
      </c>
      <c r="H50" s="20">
        <v>1</v>
      </c>
      <c r="I50" s="21">
        <v>20</v>
      </c>
      <c r="J50" s="22">
        <v>0</v>
      </c>
      <c r="K50" s="22">
        <f t="shared" si="69"/>
        <v>20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70"/>
        <v>20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71"/>
        <v>20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72"/>
        <v>20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73"/>
        <v>20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74"/>
        <v>20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75"/>
        <v>20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76"/>
        <v>20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77"/>
        <v>20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78"/>
        <v>20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79"/>
        <v>20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80"/>
        <v>20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81"/>
        <v>20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82"/>
        <v>20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83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84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85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86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87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88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89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90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91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25">
      <c r="A51" s="16" t="s">
        <v>122</v>
      </c>
      <c r="B51" s="16" t="s">
        <v>123</v>
      </c>
      <c r="C51" s="16" t="s">
        <v>130</v>
      </c>
      <c r="D51" s="17">
        <v>14</v>
      </c>
      <c r="E51" s="178" t="s">
        <v>158</v>
      </c>
      <c r="F51" s="18" t="s">
        <v>120</v>
      </c>
      <c r="G51" s="19" t="str">
        <f t="shared" ca="1" si="0"/>
        <v>Pending</v>
      </c>
      <c r="H51" s="20">
        <v>1</v>
      </c>
      <c r="I51" s="21">
        <v>20</v>
      </c>
      <c r="J51" s="22">
        <v>0</v>
      </c>
      <c r="K51" s="22">
        <f t="shared" si="1"/>
        <v>20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45"/>
        <v>20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"/>
        <v>20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3"/>
        <v>20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4"/>
        <v>20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5"/>
        <v>20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6"/>
        <v>20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7"/>
        <v>20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8"/>
        <v>20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9"/>
        <v>20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10"/>
        <v>20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11"/>
        <v>20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12"/>
        <v>20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13"/>
        <v>20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14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15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16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17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18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19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20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21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22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25">
      <c r="A52" s="16" t="s">
        <v>121</v>
      </c>
      <c r="B52" s="16" t="s">
        <v>123</v>
      </c>
      <c r="C52" s="16" t="s">
        <v>130</v>
      </c>
      <c r="D52" s="17">
        <v>15</v>
      </c>
      <c r="E52" s="178" t="s">
        <v>159</v>
      </c>
      <c r="F52" s="18" t="s">
        <v>117</v>
      </c>
      <c r="G52" s="19" t="str">
        <f t="shared" ca="1" si="0"/>
        <v>Pending</v>
      </c>
      <c r="H52" s="20">
        <v>1</v>
      </c>
      <c r="I52" s="21">
        <v>5</v>
      </c>
      <c r="J52" s="22">
        <v>0</v>
      </c>
      <c r="K52" s="22">
        <f t="shared" si="1"/>
        <v>5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45"/>
        <v>5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"/>
        <v>5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3"/>
        <v>5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4"/>
        <v>5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5"/>
        <v>5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6"/>
        <v>5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7"/>
        <v>5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8"/>
        <v>5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9"/>
        <v>5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10"/>
        <v>5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11"/>
        <v>5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12"/>
        <v>5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13"/>
        <v>5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14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15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16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17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18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19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20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21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22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25">
      <c r="A53" s="16" t="s">
        <v>121</v>
      </c>
      <c r="B53" s="16" t="s">
        <v>123</v>
      </c>
      <c r="C53" s="16" t="s">
        <v>130</v>
      </c>
      <c r="D53" s="17">
        <v>16</v>
      </c>
      <c r="E53" s="178" t="s">
        <v>160</v>
      </c>
      <c r="F53" s="18" t="s">
        <v>120</v>
      </c>
      <c r="G53" s="19" t="str">
        <f t="shared" ca="1" si="0"/>
        <v>Pending</v>
      </c>
      <c r="H53" s="20">
        <v>1</v>
      </c>
      <c r="I53" s="21">
        <v>6</v>
      </c>
      <c r="J53" s="22">
        <v>0</v>
      </c>
      <c r="K53" s="22">
        <f t="shared" si="1"/>
        <v>6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45"/>
        <v>6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"/>
        <v>6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3"/>
        <v>6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4"/>
        <v>6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5"/>
        <v>6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6"/>
        <v>6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7"/>
        <v>6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8"/>
        <v>6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9"/>
        <v>6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10"/>
        <v>6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11"/>
        <v>6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12"/>
        <v>6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13"/>
        <v>6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14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15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16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17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18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19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20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21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22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25">
      <c r="A54" s="16" t="s">
        <v>121</v>
      </c>
      <c r="B54" s="16" t="s">
        <v>123</v>
      </c>
      <c r="C54" s="16" t="s">
        <v>130</v>
      </c>
      <c r="D54" s="17">
        <v>17</v>
      </c>
      <c r="E54" s="178" t="s">
        <v>161</v>
      </c>
      <c r="F54" s="18" t="s">
        <v>119</v>
      </c>
      <c r="G54" s="19" t="str">
        <f t="shared" ca="1" si="0"/>
        <v>Pending</v>
      </c>
      <c r="H54" s="20">
        <v>1</v>
      </c>
      <c r="I54" s="21">
        <v>18</v>
      </c>
      <c r="J54" s="22">
        <v>0</v>
      </c>
      <c r="K54" s="22">
        <f t="shared" ref="K54" si="115">MAX(I54-J54, 0)</f>
        <v>18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ref="N54" si="116">MAX(K54-M54,0)</f>
        <v>18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ref="Q54" si="117">MAX(N54-P54,0)</f>
        <v>18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ref="T54" si="118">MAX(Q54-S54,0)</f>
        <v>18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ref="W54" si="119">MAX(T54-V54,0)</f>
        <v>18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ref="Z54" si="120">MAX(W54-Y54,0)</f>
        <v>18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ref="AC54" si="121">MAX(Z54-AB54,0)</f>
        <v>18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ref="AF54" si="122">MAX(AC54-AE54,0)</f>
        <v>18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ref="AI54" si="123">MAX(AF54-AH54,0)</f>
        <v>18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ref="AL54" si="124">MAX(AI54-AK54,0)</f>
        <v>18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ref="AO54" si="125">MAX(AL54-AN54,0)</f>
        <v>18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ref="AR54" si="126">MAX(AO54-AQ54,0)</f>
        <v>18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ref="AU54" si="127">MAX(AR54-AT54,0)</f>
        <v>18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ref="AX54" si="128">MAX(AU54-AW54,0)</f>
        <v>18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ref="BD54" si="129">MAX(BA54-BC54,0)</f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ref="BG54" si="130">MAX(BD54-BF54,0)</f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ref="BJ54" si="131">MAX(BG54-BI54,0)</f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ref="BM54" si="132">MAX(BJ54-BL54,0)</f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ref="BP54" si="133">MAX(BM54-BO54,0)</f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ref="BS54" si="134">MAX(BP54-BR54,0)</f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ref="BV54" si="135">MAX(BS54-BU54,0)</f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ref="BY54" si="136">MAX(BV54-BX54,0)</f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ref="CB54" si="137">MAX(BY54-CA54,0)</f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25">
      <c r="A55" s="16" t="s">
        <v>121</v>
      </c>
      <c r="B55" s="16" t="s">
        <v>123</v>
      </c>
      <c r="C55" s="16" t="s">
        <v>130</v>
      </c>
      <c r="D55" s="17">
        <v>17</v>
      </c>
      <c r="E55" s="178" t="s">
        <v>161</v>
      </c>
      <c r="F55" s="18" t="s">
        <v>117</v>
      </c>
      <c r="G55" s="19" t="str">
        <f t="shared" ca="1" si="0"/>
        <v>Pending</v>
      </c>
      <c r="H55" s="20">
        <v>1</v>
      </c>
      <c r="I55" s="21">
        <v>18</v>
      </c>
      <c r="J55" s="22">
        <v>0</v>
      </c>
      <c r="K55" s="22">
        <f t="shared" si="1"/>
        <v>18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45"/>
        <v>18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"/>
        <v>18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3"/>
        <v>18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4"/>
        <v>18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5"/>
        <v>18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6"/>
        <v>18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7"/>
        <v>18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8"/>
        <v>18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9"/>
        <v>18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10"/>
        <v>18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11"/>
        <v>18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12"/>
        <v>18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13"/>
        <v>18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14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15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16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17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18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19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20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21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22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25">
      <c r="A56" s="16" t="s">
        <v>122</v>
      </c>
      <c r="B56" s="16" t="s">
        <v>123</v>
      </c>
      <c r="C56" s="16" t="s">
        <v>130</v>
      </c>
      <c r="D56" s="17">
        <v>18</v>
      </c>
      <c r="E56" s="178" t="s">
        <v>162</v>
      </c>
      <c r="F56" s="18" t="s">
        <v>117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1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45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3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4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5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6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7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8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9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10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11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12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13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14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15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16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17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18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19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20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21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22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25">
      <c r="A57" s="16" t="s">
        <v>122</v>
      </c>
      <c r="B57" s="16" t="s">
        <v>123</v>
      </c>
      <c r="C57" s="16" t="s">
        <v>130</v>
      </c>
      <c r="D57" s="17">
        <v>18</v>
      </c>
      <c r="E57" s="178" t="s">
        <v>162</v>
      </c>
      <c r="F57" s="18" t="s">
        <v>118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1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45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3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4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5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6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7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8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9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10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11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12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13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14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15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16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17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18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19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20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21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22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25">
      <c r="A58" s="16" t="s">
        <v>122</v>
      </c>
      <c r="B58" s="16" t="s">
        <v>123</v>
      </c>
      <c r="C58" s="16" t="s">
        <v>130</v>
      </c>
      <c r="D58" s="17">
        <v>18</v>
      </c>
      <c r="E58" s="178" t="s">
        <v>162</v>
      </c>
      <c r="F58" s="18" t="s">
        <v>119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1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45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3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4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5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6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7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8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9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10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11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12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13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14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15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16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17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18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19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20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21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22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25">
      <c r="A59" s="16" t="s">
        <v>122</v>
      </c>
      <c r="B59" s="16" t="s">
        <v>123</v>
      </c>
      <c r="C59" s="16" t="s">
        <v>130</v>
      </c>
      <c r="D59" s="17">
        <v>18</v>
      </c>
      <c r="E59" s="178" t="s">
        <v>162</v>
      </c>
      <c r="F59" s="18" t="s">
        <v>120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1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45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3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4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5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6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7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8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9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10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11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12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13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14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15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16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17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18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19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20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21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22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25">
      <c r="A60" s="16"/>
      <c r="B60" s="16"/>
      <c r="C60" s="16" t="s">
        <v>130</v>
      </c>
      <c r="D60" s="17"/>
      <c r="E60" s="178"/>
      <c r="F60" s="18" t="s">
        <v>116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1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45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3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4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5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6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7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8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9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10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11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12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13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14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15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16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17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18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19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20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21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22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25">
      <c r="A61" s="16"/>
      <c r="B61" s="16"/>
      <c r="C61" s="16" t="s">
        <v>130</v>
      </c>
      <c r="D61" s="17"/>
      <c r="E61" s="178"/>
      <c r="F61" s="18" t="s">
        <v>116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1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45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3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4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5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6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7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8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9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10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11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12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13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14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15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16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17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18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19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20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21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22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25">
      <c r="A62" s="16"/>
      <c r="B62" s="16"/>
      <c r="C62" s="16" t="s">
        <v>130</v>
      </c>
      <c r="D62" s="17"/>
      <c r="E62" s="178"/>
      <c r="F62" s="18" t="s">
        <v>116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1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45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3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4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5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6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7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8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9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10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11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12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13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14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15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16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17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18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19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20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21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22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25">
      <c r="A63" s="16"/>
      <c r="B63" s="16"/>
      <c r="C63" s="16" t="s">
        <v>130</v>
      </c>
      <c r="D63" s="17"/>
      <c r="E63" s="178"/>
      <c r="F63" s="18" t="s">
        <v>116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1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45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3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4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5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6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7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8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9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10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11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12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13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14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15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16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17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18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19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20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21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22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25">
      <c r="A64" s="16"/>
      <c r="B64" s="16"/>
      <c r="C64" s="16" t="s">
        <v>130</v>
      </c>
      <c r="D64" s="17"/>
      <c r="E64" s="178"/>
      <c r="F64" s="18" t="s">
        <v>116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1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45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3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4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5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6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7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8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9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10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11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12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13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14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15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16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17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18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19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20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21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22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25">
      <c r="A65" s="16"/>
      <c r="B65" s="16"/>
      <c r="C65" s="16" t="s">
        <v>130</v>
      </c>
      <c r="D65" s="17"/>
      <c r="E65" s="178"/>
      <c r="F65" s="18" t="s">
        <v>116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1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45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3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4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5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6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7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8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9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10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11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12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13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14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15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16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17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18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19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20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21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22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25">
      <c r="A66" s="16"/>
      <c r="B66" s="16"/>
      <c r="C66" s="16" t="s">
        <v>130</v>
      </c>
      <c r="D66" s="17"/>
      <c r="E66" s="178"/>
      <c r="F66" s="18" t="s">
        <v>116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1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45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3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4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5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6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7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8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9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10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11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12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13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14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15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16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17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18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19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20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21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22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25">
      <c r="A67" s="16"/>
      <c r="B67" s="16"/>
      <c r="C67" s="16" t="s">
        <v>130</v>
      </c>
      <c r="D67" s="17"/>
      <c r="E67" s="178"/>
      <c r="F67" s="18" t="s">
        <v>116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1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45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3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4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5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6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7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8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9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10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11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12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13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14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15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16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17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18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19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20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21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22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25">
      <c r="A68" s="16"/>
      <c r="B68" s="16"/>
      <c r="C68" s="16" t="s">
        <v>130</v>
      </c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38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39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40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41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42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43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44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45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46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47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48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49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50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51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52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53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54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55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56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57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58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59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60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25">
      <c r="A70" s="29"/>
      <c r="B70" s="29"/>
      <c r="C70" s="29"/>
      <c r="D70" s="29"/>
      <c r="E70" s="29"/>
      <c r="F70" s="29"/>
      <c r="G70" s="1"/>
      <c r="H70" s="29"/>
      <c r="I70" s="29"/>
      <c r="J70" s="190" t="s">
        <v>9</v>
      </c>
      <c r="K70" s="191"/>
      <c r="L70" s="30">
        <v>1</v>
      </c>
      <c r="M70" s="187" t="s">
        <v>9</v>
      </c>
      <c r="N70" s="189"/>
      <c r="O70" s="30">
        <f>L70+1</f>
        <v>2</v>
      </c>
      <c r="P70" s="187" t="s">
        <v>9</v>
      </c>
      <c r="Q70" s="189"/>
      <c r="R70" s="30">
        <f>O70+1</f>
        <v>3</v>
      </c>
      <c r="S70" s="187" t="s">
        <v>9</v>
      </c>
      <c r="T70" s="189"/>
      <c r="U70" s="30">
        <f>R70+1</f>
        <v>4</v>
      </c>
      <c r="V70" s="187" t="s">
        <v>9</v>
      </c>
      <c r="W70" s="189"/>
      <c r="X70" s="30">
        <f>U70+1</f>
        <v>5</v>
      </c>
      <c r="Y70" s="187" t="s">
        <v>9</v>
      </c>
      <c r="Z70" s="187"/>
      <c r="AA70" s="30">
        <f>X70+1</f>
        <v>6</v>
      </c>
      <c r="AB70" s="187" t="s">
        <v>9</v>
      </c>
      <c r="AC70" s="187"/>
      <c r="AD70" s="30">
        <f>AA70+1</f>
        <v>7</v>
      </c>
      <c r="AE70" s="187" t="s">
        <v>9</v>
      </c>
      <c r="AF70" s="187"/>
      <c r="AG70" s="30">
        <f>AD70+1</f>
        <v>8</v>
      </c>
      <c r="AH70" s="187" t="s">
        <v>9</v>
      </c>
      <c r="AI70" s="187"/>
      <c r="AJ70" s="30">
        <f>AG70+1</f>
        <v>9</v>
      </c>
      <c r="AK70" s="187" t="s">
        <v>9</v>
      </c>
      <c r="AL70" s="187"/>
      <c r="AM70" s="30">
        <f>AJ70+1</f>
        <v>10</v>
      </c>
      <c r="AN70" s="187" t="s">
        <v>9</v>
      </c>
      <c r="AO70" s="187"/>
      <c r="AP70" s="30">
        <f>AM70+1</f>
        <v>11</v>
      </c>
      <c r="AQ70" s="187" t="s">
        <v>9</v>
      </c>
      <c r="AR70" s="187"/>
      <c r="AS70" s="30">
        <f>AP70+1</f>
        <v>12</v>
      </c>
      <c r="AT70" s="187" t="s">
        <v>9</v>
      </c>
      <c r="AU70" s="187"/>
      <c r="AV70" s="30">
        <f>AS70+1</f>
        <v>13</v>
      </c>
      <c r="AW70" s="187" t="s">
        <v>9</v>
      </c>
      <c r="AX70" s="187"/>
      <c r="AY70" s="30">
        <f>AV70+1</f>
        <v>14</v>
      </c>
      <c r="AZ70" s="187" t="s">
        <v>9</v>
      </c>
      <c r="BA70" s="189"/>
      <c r="BB70" s="30" t="e">
        <f>#REF!+1</f>
        <v>#REF!</v>
      </c>
      <c r="BC70" s="187" t="s">
        <v>9</v>
      </c>
      <c r="BD70" s="189"/>
      <c r="BE70" s="30" t="e">
        <f>BB70+1</f>
        <v>#REF!</v>
      </c>
      <c r="BF70" s="187" t="s">
        <v>9</v>
      </c>
      <c r="BG70" s="189"/>
      <c r="BH70" s="30" t="e">
        <f>BE70+1</f>
        <v>#REF!</v>
      </c>
      <c r="BI70" s="187" t="s">
        <v>9</v>
      </c>
      <c r="BJ70" s="189"/>
      <c r="BK70" s="30" t="e">
        <f>BH70+1</f>
        <v>#REF!</v>
      </c>
      <c r="BL70" s="187" t="s">
        <v>9</v>
      </c>
      <c r="BM70" s="189"/>
      <c r="BN70" s="30" t="e">
        <f>BK70+1</f>
        <v>#REF!</v>
      </c>
      <c r="BO70" s="187" t="s">
        <v>9</v>
      </c>
      <c r="BP70" s="189"/>
      <c r="BQ70" s="30" t="e">
        <f>BN70+1</f>
        <v>#REF!</v>
      </c>
      <c r="BR70" s="187" t="s">
        <v>9</v>
      </c>
      <c r="BS70" s="189"/>
      <c r="BT70" s="30" t="e">
        <f>BQ70+1</f>
        <v>#REF!</v>
      </c>
      <c r="BU70" s="187" t="s">
        <v>9</v>
      </c>
      <c r="BV70" s="189"/>
      <c r="BW70" s="30" t="e">
        <f>BT70+1</f>
        <v>#REF!</v>
      </c>
      <c r="BX70" s="187" t="s">
        <v>9</v>
      </c>
      <c r="BY70" s="189"/>
      <c r="BZ70" s="30" t="e">
        <f>BW70+1</f>
        <v>#REF!</v>
      </c>
      <c r="CA70" s="187" t="s">
        <v>9</v>
      </c>
      <c r="CB70" s="189"/>
      <c r="CC70" s="30" t="e">
        <f>BZ70+1</f>
        <v>#REF!</v>
      </c>
      <c r="CD70" s="30"/>
      <c r="CE70" s="31"/>
    </row>
    <row r="71" spans="1:83" hidden="1" x14ac:dyDescent="0.25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25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25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25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436</v>
      </c>
      <c r="J74" s="156">
        <f>SUBTOTAL(109,J$4:J$69)</f>
        <v>0</v>
      </c>
      <c r="K74" s="156">
        <f>SUBTOTAL(109,K$4:K$68)</f>
        <v>436</v>
      </c>
      <c r="L74" s="39"/>
      <c r="M74" s="39">
        <f>SUBTOTAL(109,M$4:M$69)</f>
        <v>8.5</v>
      </c>
      <c r="N74" s="39">
        <f>SUBTOTAL(109,N$4:N$68)</f>
        <v>419</v>
      </c>
      <c r="O74" s="39"/>
      <c r="P74" s="39">
        <f>SUBTOTAL(109,P$4:P$69)</f>
        <v>1</v>
      </c>
      <c r="Q74" s="39">
        <f>SUBTOTAL(109,Q$4:Q$68)</f>
        <v>418</v>
      </c>
      <c r="R74" s="39"/>
      <c r="S74" s="39">
        <f>SUBTOTAL(109,S$4:S$69)</f>
        <v>0</v>
      </c>
      <c r="T74" s="39">
        <f>SUBTOTAL(109,T$4:T$68)</f>
        <v>418</v>
      </c>
      <c r="U74" s="39"/>
      <c r="V74" s="39">
        <f>SUBTOTAL(109,V$4:V$69)</f>
        <v>3</v>
      </c>
      <c r="W74" s="39">
        <f>SUBTOTAL(109,W$4:W$68)</f>
        <v>415</v>
      </c>
      <c r="X74" s="39"/>
      <c r="Y74" s="39">
        <f>SUBTOTAL(109,Y$4:Y$69)</f>
        <v>1</v>
      </c>
      <c r="Z74" s="39">
        <f>SUBTOTAL(109,Z$4:Z$68)</f>
        <v>414</v>
      </c>
      <c r="AA74" s="39"/>
      <c r="AB74" s="39">
        <f>SUBTOTAL(109,AB$4:AB$69)</f>
        <v>4</v>
      </c>
      <c r="AC74" s="39">
        <f>SUBTOTAL(109,AC$4:AC$68)</f>
        <v>410</v>
      </c>
      <c r="AD74" s="39"/>
      <c r="AE74" s="39">
        <f>SUBTOTAL(109,AE$4:AE$69)</f>
        <v>0</v>
      </c>
      <c r="AF74" s="39">
        <f>SUBTOTAL(109,AF$4:AF$68)</f>
        <v>410</v>
      </c>
      <c r="AG74" s="39"/>
      <c r="AH74" s="39">
        <f>SUBTOTAL(109,AH$4:AH$69)</f>
        <v>18</v>
      </c>
      <c r="AI74" s="39">
        <f>SUBTOTAL(109,AI$4:AI$68)</f>
        <v>373</v>
      </c>
      <c r="AJ74" s="39"/>
      <c r="AK74" s="39">
        <f>SUBTOTAL(109,AK$4:AK$69)</f>
        <v>0</v>
      </c>
      <c r="AL74" s="39">
        <f>SUBTOTAL(109,AL$4:AL$68)</f>
        <v>373</v>
      </c>
      <c r="AM74" s="39"/>
      <c r="AN74" s="39">
        <f>SUBTOTAL(109,AN$4:AN$69)</f>
        <v>0</v>
      </c>
      <c r="AO74" s="39">
        <f>SUBTOTAL(109,AO$4:AO$68)</f>
        <v>373</v>
      </c>
      <c r="AP74" s="39"/>
      <c r="AQ74" s="39">
        <f>SUBTOTAL(109,AQ$4:AQ$69)</f>
        <v>0</v>
      </c>
      <c r="AR74" s="39">
        <f>SUBTOTAL(109,AR$4:AR$68)</f>
        <v>373</v>
      </c>
      <c r="AS74" s="39"/>
      <c r="AT74" s="39">
        <f>SUBTOTAL(109,AT$4:AT$69)</f>
        <v>0</v>
      </c>
      <c r="AU74" s="39">
        <f>SUBTOTAL(109,AU$4:AU$68)</f>
        <v>373</v>
      </c>
      <c r="AV74" s="39"/>
      <c r="AW74" s="39">
        <f>SUBTOTAL(109,AW$4:AW$69)</f>
        <v>0</v>
      </c>
      <c r="AX74" s="39">
        <f>SUBTOTAL(109,AX$4:AX$68)</f>
        <v>373</v>
      </c>
      <c r="AY74" s="39"/>
      <c r="AZ74" s="39">
        <f t="shared" ref="AZ74:CC74" si="161">SUBTOTAL(109,AZ$4:AZ$68)</f>
        <v>0</v>
      </c>
      <c r="BA74" s="39" t="e">
        <f t="shared" si="161"/>
        <v>#REF!</v>
      </c>
      <c r="BB74" s="39" t="e">
        <f t="shared" si="161"/>
        <v>#REF!</v>
      </c>
      <c r="BC74" s="39">
        <f t="shared" si="161"/>
        <v>0</v>
      </c>
      <c r="BD74" s="39" t="e">
        <f t="shared" si="161"/>
        <v>#REF!</v>
      </c>
      <c r="BE74" s="39" t="e">
        <f t="shared" si="161"/>
        <v>#REF!</v>
      </c>
      <c r="BF74" s="39">
        <f t="shared" si="161"/>
        <v>0</v>
      </c>
      <c r="BG74" s="39" t="e">
        <f t="shared" si="161"/>
        <v>#REF!</v>
      </c>
      <c r="BH74" s="39" t="e">
        <f t="shared" si="161"/>
        <v>#REF!</v>
      </c>
      <c r="BI74" s="39">
        <f t="shared" si="161"/>
        <v>0</v>
      </c>
      <c r="BJ74" s="39" t="e">
        <f t="shared" si="161"/>
        <v>#REF!</v>
      </c>
      <c r="BK74" s="39" t="e">
        <f t="shared" si="161"/>
        <v>#REF!</v>
      </c>
      <c r="BL74" s="39">
        <f t="shared" si="161"/>
        <v>0</v>
      </c>
      <c r="BM74" s="39" t="e">
        <f t="shared" si="161"/>
        <v>#REF!</v>
      </c>
      <c r="BN74" s="39" t="e">
        <f t="shared" si="161"/>
        <v>#REF!</v>
      </c>
      <c r="BO74" s="39">
        <f t="shared" si="161"/>
        <v>0</v>
      </c>
      <c r="BP74" s="39" t="e">
        <f t="shared" si="161"/>
        <v>#REF!</v>
      </c>
      <c r="BQ74" s="39" t="e">
        <f t="shared" si="161"/>
        <v>#REF!</v>
      </c>
      <c r="BR74" s="39">
        <f t="shared" si="161"/>
        <v>0</v>
      </c>
      <c r="BS74" s="39" t="e">
        <f t="shared" si="161"/>
        <v>#REF!</v>
      </c>
      <c r="BT74" s="39" t="e">
        <f t="shared" si="161"/>
        <v>#REF!</v>
      </c>
      <c r="BU74" s="39">
        <f t="shared" si="161"/>
        <v>0</v>
      </c>
      <c r="BV74" s="39" t="e">
        <f t="shared" si="161"/>
        <v>#REF!</v>
      </c>
      <c r="BW74" s="39" t="e">
        <f t="shared" si="161"/>
        <v>#REF!</v>
      </c>
      <c r="BX74" s="39">
        <f t="shared" si="161"/>
        <v>0</v>
      </c>
      <c r="BY74" s="39" t="e">
        <f t="shared" si="161"/>
        <v>#REF!</v>
      </c>
      <c r="BZ74" s="39" t="e">
        <f t="shared" si="161"/>
        <v>#REF!</v>
      </c>
      <c r="CA74" s="39">
        <f t="shared" si="161"/>
        <v>0</v>
      </c>
      <c r="CB74" s="39" t="e">
        <f t="shared" si="161"/>
        <v>#REF!</v>
      </c>
      <c r="CC74" s="39" t="e">
        <f t="shared" si="161"/>
        <v>#REF!</v>
      </c>
      <c r="CD74" s="38"/>
      <c r="CE74" s="40"/>
    </row>
    <row r="75" spans="1:83" x14ac:dyDescent="0.25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25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5">
      <c r="A77" s="41"/>
      <c r="B77" s="41"/>
      <c r="C77" s="41"/>
      <c r="D77" s="41"/>
      <c r="E77" s="41"/>
      <c r="F77" s="41"/>
      <c r="G77" s="41"/>
    </row>
    <row r="78" spans="1:83" x14ac:dyDescent="0.25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T70:AU70"/>
    <mergeCell ref="AW70:AX70"/>
    <mergeCell ref="AH70:AI70"/>
    <mergeCell ref="AK70:AL70"/>
    <mergeCell ref="AN70:AO70"/>
    <mergeCell ref="AQ70:AR70"/>
    <mergeCell ref="AW1:AY1"/>
    <mergeCell ref="AH1:AJ1"/>
    <mergeCell ref="AK1:AM1"/>
    <mergeCell ref="AN1:AP1"/>
    <mergeCell ref="AQ1:AS1"/>
    <mergeCell ref="AT1:AV1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AE70:AF70"/>
    <mergeCell ref="AB70:AC70"/>
    <mergeCell ref="Y70:Z70"/>
    <mergeCell ref="AE1:AG1"/>
    <mergeCell ref="AB1:AD1"/>
    <mergeCell ref="Y1:AA1"/>
  </mergeCells>
  <phoneticPr fontId="2" type="noConversion"/>
  <conditionalFormatting sqref="I74">
    <cfRule type="cellIs" dxfId="95" priority="101" stopIfTrue="1" operator="lessThan">
      <formula>C74*0.75</formula>
    </cfRule>
    <cfRule type="cellIs" dxfId="94" priority="101" stopIfTrue="1" operator="between">
      <formula>C74*0.75</formula>
      <formula>#REF!</formula>
    </cfRule>
    <cfRule type="cellIs" dxfId="93" priority="101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2" priority="9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1" priority="9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0" priority="95" stopIfTrue="1">
      <formula>J$1=TODAY()+DailyScrumDateModifier</formula>
    </cfRule>
  </conditionalFormatting>
  <conditionalFormatting sqref="S4:S6 AW4:AW6 AT4:AT6 AQ4:AQ6 AN4:AN6 AK4:AK6 AH4:AH6 AE4:AE6 AB4:AB6 Y4:Y6 V4:V6 CA4:CA6 BX4:BX6 BU4:BU6 BR4:BR6 BO4:BO6 BL4:BL6 BI4:BI6 BF4:BF6 BC4:BC6 AZ4:AZ6 M4:M6 J4:J6 P4:P6 P8:P41 J8:J41 M8:M41 AZ8:AZ41 BC8:BC41 BF8:BF41 BI8:BI41 BL8:BL41 BO8:BO41 BR8:BR41 BU8:BU41 BX8:BX41 CA8:CA41 V8:V41 Y8:Y41 AB8:AB41 AE8:AE41 AH8:AH41 AK8:AK41 AN8:AN41 AQ8:AQ41 AT8:AT41 AW8:AW41 S8:S41 S44:S46 AW44:AW46 AT44:AT46 AQ44:AQ46 AN44:AN46 AK44:AK46 AH44:AH46 AE44:AE46 AB44:AB46 Y44:Y46 V44:V46 CA44:CA46 BX44:BX46 BU44:BU46 BR44:BR46 BO44:BO46 BL44:BL46 BI44:BI46 BF44:BF46 BC44:BC46 AZ44:AZ46 M44:M46 J44:J46 P44:P46 P51:P53 J51:J53 M51:M53 AZ51:AZ53 BC51:BC53 BF51:BF53 BI51:BI53 BL51:BL53 BO51:BO53 BR51:BR53 BU51:BU53 BX51:BX53 CA51:CA53 V51:V53 Y51:Y53 AB51:AB53 AE51:AE53 AH51:AH53 AK51:AK53 AN51:AN53 AQ51:AQ53 AT51:AT53 AW51:AW53 S51:S53 S55:S68 AW55:AW68 AT55:AT68 AQ55:AQ68 AN55:AN68 AK55:AK68 AH55:AH68 AE55:AE68 AB55:AB68 Y55:Y68 V55:V68 CA55:CA68 BX55:BX68 BU55:BU68 BR55:BR68 BO55:BO68 BL55:BL68 BI55:BI68 BF55:BF68 BC55:BC68 AZ55:AZ68 M55:M68 J55:J68 P55:P68">
    <cfRule type="expression" dxfId="89" priority="104" stopIfTrue="1">
      <formula>J$1=TODAY()+DailyScrumDateModifier</formula>
    </cfRule>
    <cfRule type="expression" dxfId="88" priority="104" stopIfTrue="1">
      <formula>MOD(ROW(),2)</formula>
    </cfRule>
  </conditionalFormatting>
  <conditionalFormatting sqref="AX4:AX6 AU4:AU6 AR4:AR6 AL4:AL6 AF4:AF6 AC4:AC6 Z4:Z6 W4:W6 Q4:Q6 CB4:CB6 BY4:BY6 BV4:BV6 BS4:BS6 BP4:BP6 BM4:BM6 BJ4:BJ6 BG4:BG6 BD4:BD6 BA4:BA6 K4:K6 T4:T6 AI4:AI6 AO4:AO6 N4:N6 N8:N41 AO8:AO41 AI8:AI41 T8:T41 K8:K41 BA8:BA41 BD8:BD41 BG8:BG41 BJ8:BJ41 BM8:BM41 BP8:BP41 BS8:BS41 BV8:BV41 BY8:BY41 CB8:CB41 Q8:Q41 W8:W41 Z8:Z41 AC8:AC41 AF8:AF41 AL8:AL41 AR8:AR41 AU8:AU41 AX8:AX41 AX44:AX46 AU44:AU46 AR44:AR46 AL44:AL46 AF44:AF46 AC44:AC46 Z44:Z46 W44:W46 Q44:Q46 CB44:CB46 BY44:BY46 BV44:BV46 BS44:BS46 BP44:BP46 BM44:BM46 BJ44:BJ46 BG44:BG46 BD44:BD46 BA44:BA46 K44:K46 T44:T46 AI44:AI46 AO44:AO46 N44:N46 N51:N53 AO51:AO53 AI51:AI53 T51:T53 K51:K53 BA51:BA53 BD51:BD53 BG51:BG53 BJ51:BJ53 BM51:BM53 BP51:BP53 BS51:BS53 BV51:BV53 BY51:BY53 CB51:CB53 Q51:Q53 W51:W53 Z51:Z53 AC51:AC53 AF51:AF53 AL51:AL53 AR51:AR53 AU51:AU53 AX51:AX53 AX55:AX68 AU55:AU68 AR55:AR68 AL55:AL68 AF55:AF68 AC55:AC68 Z55:Z68 W55:W68 Q55:Q68 CB55:CB68 BY55:BY68 BV55:BV68 BS55:BS68 BP55:BP68 BM55:BM68 BJ55:BJ68 BG55:BG68 BD55:BD68 BA55:BA68 K55:K68 T55:T68 AI55:AI68 AO55:AO68 N55:N68">
    <cfRule type="expression" dxfId="87" priority="106" stopIfTrue="1">
      <formula>J$1=TODAY()+DailyScrumDateModifier</formula>
    </cfRule>
    <cfRule type="expression" dxfId="86" priority="106" stopIfTrue="1">
      <formula>MOD(ROW(),2)</formula>
    </cfRule>
  </conditionalFormatting>
  <conditionalFormatting sqref="CE4:CE6 H4:I6 A4:E6 H8:I41 CE8:CE41 A44:E46 CE44:CE46 H44:I46 H51:I53 CE51:CE53 A8:E41 D47:D51 A51:E53 A55:E68 CE55:CE69 H55:I68">
    <cfRule type="expression" dxfId="85" priority="108" stopIfTrue="1">
      <formula>MOD(ROW(),2)</formula>
    </cfRule>
  </conditionalFormatting>
  <conditionalFormatting sqref="CC4:CC6 BZ4:BZ6 BW4:BW6 BT4:BT6 BQ4:BQ6 BN4:BN6 BK4:BK6 BH4:BH6 BE4:BE6 BB4:BB6 X4:X6 U4:U6 R4:R6 O4:O6 AY4:AY6 AV4:AV6 AS4:AS6 AP4:AP6 AM4:AM6 AJ4:AJ6 AG4:AG6 AD4:AD6 AA4:AA6 L4:L6 L8:L41 AA8:AA41 AD8:AD41 AG8:AG41 AJ8:AJ41 AM8:AM41 AP8:AP41 AS8:AS41 AV8:AV41 AY8:AY41 O8:O41 R8:R41 U8:U41 X8:X41 BB8:BB41 BE8:BE41 BH8:BH41 BK8:BK41 BN8:BN41 BQ8:BQ41 BT8:BT41 BW8:BW41 BZ8:BZ41 CC8:CC41 CC44:CC46 BZ44:BZ46 BW44:BW46 BT44:BT46 BQ44:BQ46 BN44:BN46 BK44:BK46 BH44:BH46 BE44:BE46 BB44:BB46 X44:X46 U44:U46 R44:R46 O44:O46 AY44:AY46 AV44:AV46 AS44:AS46 AP44:AP46 AM44:AM46 AJ44:AJ46 AG44:AG46 AD44:AD46 AA44:AA46 L44:L46 L51:L53 AA51:AA53 AD51:AD53 AG51:AG53 AJ51:AJ53 AM51:AM53 AP51:AP53 AS51:AS53 AV51:AV53 AY51:AY53 O51:O53 R51:R53 U51:U53 X51:X53 BB51:BB53 BE51:BE53 BH51:BH53 BK51:BK53 BN51:BN53 BQ51:BQ53 BT51:BT53 BW51:BW53 BZ51:BZ53 CC51:CC53 CC55:CC68 BZ55:BZ68 BW55:BW68 BT55:BT68 BQ55:BQ68 BN55:BN68 BK55:BK68 BH55:BH68 BE55:BE68 BB55:BB68 X55:X68 U55:U68 R55:R68 O55:O68 AY55:AY68 AV55:AV68 AS55:AS68 AP55:AP68 AM55:AM68 AJ55:AJ68 AG55:AG68 AD55:AD68 AA55:AA68 L55:L68">
    <cfRule type="cellIs" dxfId="84" priority="109" stopIfTrue="1" operator="equal">
      <formula>"Pending"</formula>
    </cfRule>
    <cfRule type="cellIs" dxfId="83" priority="109" stopIfTrue="1" operator="equal">
      <formula>"In Progress"</formula>
    </cfRule>
    <cfRule type="cellIs" dxfId="82" priority="109" stopIfTrue="1" operator="equal">
      <formula>"Complete"</formula>
    </cfRule>
  </conditionalFormatting>
  <conditionalFormatting sqref="J1:CC1">
    <cfRule type="expression" dxfId="81" priority="96" stopIfTrue="1">
      <formula>J$1=TODAY()+DailyScrumDateModifier</formula>
    </cfRule>
    <cfRule type="expression" dxfId="80" priority="96" stopIfTrue="1">
      <formula>J$1=TODAY()</formula>
    </cfRule>
  </conditionalFormatting>
  <conditionalFormatting sqref="J75:K76 M75:N76">
    <cfRule type="expression" dxfId="79" priority="98" stopIfTrue="1">
      <formula>"I1=TODAY()"</formula>
    </cfRule>
  </conditionalFormatting>
  <conditionalFormatting sqref="G70">
    <cfRule type="cellIs" dxfId="78" priority="99" stopIfTrue="1" operator="equal">
      <formula>"Complete"</formula>
    </cfRule>
    <cfRule type="cellIs" dxfId="77" priority="99" stopIfTrue="1" operator="equal">
      <formula>"In Progress"</formula>
    </cfRule>
  </conditionalFormatting>
  <conditionalFormatting sqref="G4:G6 G8:G41 G44:G46 G51:G53 G55:G68">
    <cfRule type="cellIs" dxfId="76" priority="112" stopIfTrue="1" operator="equal">
      <formula>"Complete"</formula>
    </cfRule>
    <cfRule type="cellIs" dxfId="75" priority="112" stopIfTrue="1" operator="equal">
      <formula>"In Progress"</formula>
    </cfRule>
    <cfRule type="cellIs" dxfId="74" priority="112" stopIfTrue="1" operator="equal">
      <formula>"Pending"</formula>
    </cfRule>
  </conditionalFormatting>
  <conditionalFormatting sqref="P7 J7 M7 AZ7 BC7 BF7 BI7 BL7 BO7 BR7 BU7 BX7 CA7 V7 Y7 AB7 AE7 AH7 AK7 AN7 AQ7 AT7 AW7 S7">
    <cfRule type="expression" dxfId="73" priority="80" stopIfTrue="1">
      <formula>J$1=TODAY()+DailyScrumDateModifier</formula>
    </cfRule>
  </conditionalFormatting>
  <conditionalFormatting sqref="N7 AO7 AI7 T7 K7 BA7 BD7 BG7 BJ7 BM7 BP7 BS7 BV7 BY7 CB7 Q7 W7 Z7 AC7 AF7 AL7 AR7 AU7 AX7">
    <cfRule type="expression" dxfId="72" priority="81" stopIfTrue="1">
      <formula>J$1=TODAY()+DailyScrumDateModifier</formula>
    </cfRule>
  </conditionalFormatting>
  <conditionalFormatting sqref="A7:E7 H7:I7 CE7 D9">
    <cfRule type="expression" dxfId="71" priority="82" stopIfTrue="1">
      <formula>MOD(ROW(),2)</formula>
    </cfRule>
  </conditionalFormatting>
  <conditionalFormatting sqref="L7 AA7 AD7 AG7 AJ7 AM7 AP7 AS7 AV7 AY7 O7 R7 U7 X7 BB7 BE7 BH7 BK7 BN7 BQ7 BT7 BW7 BZ7 CC7">
    <cfRule type="cellIs" dxfId="70" priority="83" stopIfTrue="1" operator="equal">
      <formula>"Pending"</formula>
    </cfRule>
  </conditionalFormatting>
  <conditionalFormatting sqref="G7">
    <cfRule type="cellIs" dxfId="69" priority="84" stopIfTrue="1" operator="equal">
      <formula>"Complete"</formula>
    </cfRule>
  </conditionalFormatting>
  <conditionalFormatting sqref="S42 AW42 AT42 AQ42 AN42 AK42 AH42 AE42 AB42 Y42 V42 CA42 BX42 BU42 BR42 BO42 BL42 BI42 BF42 BC42 AZ42 M42 J42 P42">
    <cfRule type="expression" dxfId="68" priority="69" stopIfTrue="1">
      <formula>J$1=TODAY()+DailyScrumDateModifier</formula>
    </cfRule>
  </conditionalFormatting>
  <conditionalFormatting sqref="AX42 AU42 AR42 AL42 AF42 AC42 Z42 W42 Q42 CB42 BY42 BV42 BS42 BP42 BM42 BJ42 BG42 BD42 BA42 K42 T42 AI42 AO42 N42">
    <cfRule type="expression" dxfId="67" priority="70" stopIfTrue="1">
      <formula>J$1=TODAY()+DailyScrumDateModifier</formula>
    </cfRule>
  </conditionalFormatting>
  <conditionalFormatting sqref="A42:E42 CE42 H42:I42">
    <cfRule type="expression" dxfId="66" priority="71" stopIfTrue="1">
      <formula>MOD(ROW(),2)</formula>
    </cfRule>
  </conditionalFormatting>
  <conditionalFormatting sqref="CC42 BZ42 BW42 BT42 BQ42 BN42 BK42 BH42 BE42 BB42 X42 U42 R42 O42 AY42 AV42 AS42 AP42 AM42 AJ42 AG42 AD42 AA42 L42">
    <cfRule type="cellIs" dxfId="65" priority="72" stopIfTrue="1" operator="equal">
      <formula>"Pending"</formula>
    </cfRule>
  </conditionalFormatting>
  <conditionalFormatting sqref="G42">
    <cfRule type="cellIs" dxfId="64" priority="73" stopIfTrue="1" operator="equal">
      <formula>"Complete"</formula>
    </cfRule>
  </conditionalFormatting>
  <conditionalFormatting sqref="S43 AW43 AT43 AQ43 AN43 AK43 AH43 AE43 AB43 Y43 V43 CA43 BX43 BU43 BR43 BO43 BL43 BI43 BF43 BC43 AZ43 M43 J43 P43">
    <cfRule type="expression" dxfId="63" priority="58" stopIfTrue="1">
      <formula>J$1=TODAY()+DailyScrumDateModifier</formula>
    </cfRule>
  </conditionalFormatting>
  <conditionalFormatting sqref="AX43 AU43 AR43 AL43 AF43 AC43 Z43 W43 Q43 CB43 BY43 BV43 BS43 BP43 BM43 BJ43 BG43 BD43 BA43 K43 T43 AI43 AO43 N43">
    <cfRule type="expression" dxfId="62" priority="59" stopIfTrue="1">
      <formula>J$1=TODAY()+DailyScrumDateModifier</formula>
    </cfRule>
  </conditionalFormatting>
  <conditionalFormatting sqref="A43:E43 CE43 H43:I43">
    <cfRule type="expression" dxfId="61" priority="60" stopIfTrue="1">
      <formula>MOD(ROW(),2)</formula>
    </cfRule>
  </conditionalFormatting>
  <conditionalFormatting sqref="CC43 BZ43 BW43 BT43 BQ43 BN43 BK43 BH43 BE43 BB43 X43 U43 R43 O43 AY43 AV43 AS43 AP43 AM43 AJ43 AG43 AD43 AA43 L43">
    <cfRule type="cellIs" dxfId="60" priority="61" stopIfTrue="1" operator="equal">
      <formula>"Pending"</formula>
    </cfRule>
  </conditionalFormatting>
  <conditionalFormatting sqref="G43">
    <cfRule type="cellIs" dxfId="59" priority="62" stopIfTrue="1" operator="equal">
      <formula>"Complete"</formula>
    </cfRule>
  </conditionalFormatting>
  <conditionalFormatting sqref="P47 J47 M47 AZ47 BC47 BF47 BI47 BL47 BO47 BR47 BU47 BX47 CA47 V47 Y47 AB47 AE47 AH47 AK47 AN47 AQ47 AT47 AW47 S47">
    <cfRule type="expression" dxfId="58" priority="47" stopIfTrue="1">
      <formula>J$1=TODAY()+DailyScrumDateModifier</formula>
    </cfRule>
  </conditionalFormatting>
  <conditionalFormatting sqref="N47 AO47 AI47 T47 K47 BA47 BD47 BG47 BJ47 BM47 BP47 BS47 BV47 BY47 CB47 Q47 W47 Z47 AC47 AF47 AL47 AR47 AU47 AX47">
    <cfRule type="expression" dxfId="57" priority="48" stopIfTrue="1">
      <formula>J$1=TODAY()+DailyScrumDateModifier</formula>
    </cfRule>
  </conditionalFormatting>
  <conditionalFormatting sqref="H47:I47 CE47 A47:E47">
    <cfRule type="expression" dxfId="56" priority="49" stopIfTrue="1">
      <formula>MOD(ROW(),2)</formula>
    </cfRule>
  </conditionalFormatting>
  <conditionalFormatting sqref="L47 AA47 AD47 AG47 AJ47 AM47 AP47 AS47 AV47 AY47 O47 R47 U47 X47 BB47 BE47 BH47 BK47 BN47 BQ47 BT47 BW47 BZ47 CC47">
    <cfRule type="cellIs" dxfId="55" priority="50" stopIfTrue="1" operator="equal">
      <formula>"Pending"</formula>
    </cfRule>
  </conditionalFormatting>
  <conditionalFormatting sqref="G47">
    <cfRule type="cellIs" dxfId="54" priority="51" stopIfTrue="1" operator="equal">
      <formula>"Complete"</formula>
    </cfRule>
  </conditionalFormatting>
  <conditionalFormatting sqref="P50 J50 M50 AZ50 BC50 BF50 BI50 BL50 BO50 BR50 BU50 BX50 CA50 V50 Y50 AB50 AE50 AH50 AK50 AN50 AQ50 AT50 AW50 S50">
    <cfRule type="expression" dxfId="53" priority="36" stopIfTrue="1">
      <formula>J$1=TODAY()+DailyScrumDateModifier</formula>
    </cfRule>
  </conditionalFormatting>
  <conditionalFormatting sqref="N50 AO50 AI50 T50 K50 BA50 BD50 BG50 BJ50 BM50 BP50 BS50 BV50 BY50 CB50 Q50 W50 Z50 AC50 AF50 AL50 AR50 AU50 AX50">
    <cfRule type="expression" dxfId="52" priority="37" stopIfTrue="1">
      <formula>J$1=TODAY()+DailyScrumDateModifier</formula>
    </cfRule>
  </conditionalFormatting>
  <conditionalFormatting sqref="H50:I50 CE50 A50:E50">
    <cfRule type="expression" dxfId="51" priority="38" stopIfTrue="1">
      <formula>MOD(ROW(),2)</formula>
    </cfRule>
  </conditionalFormatting>
  <conditionalFormatting sqref="L50 AA50 AD50 AG50 AJ50 AM50 AP50 AS50 AV50 AY50 O50 R50 U50 X50 BB50 BE50 BH50 BK50 BN50 BQ50 BT50 BW50 BZ50 CC50">
    <cfRule type="cellIs" dxfId="50" priority="39" stopIfTrue="1" operator="equal">
      <formula>"Pending"</formula>
    </cfRule>
  </conditionalFormatting>
  <conditionalFormatting sqref="G50">
    <cfRule type="cellIs" dxfId="49" priority="40" stopIfTrue="1" operator="equal">
      <formula>"Complete"</formula>
    </cfRule>
  </conditionalFormatting>
  <conditionalFormatting sqref="P49 J49 M49 AZ49 BC49 BF49 BI49 BL49 BO49 BR49 BU49 BX49 CA49 V49 Y49 AB49 AE49 AH49 AK49 AN49 AQ49 AT49 AW49 S49">
    <cfRule type="expression" dxfId="48" priority="25" stopIfTrue="1">
      <formula>J$1=TODAY()+DailyScrumDateModifier</formula>
    </cfRule>
    <cfRule type="expression" dxfId="47" priority="34" stopIfTrue="1">
      <formula>MOD(ROW(),2)</formula>
    </cfRule>
  </conditionalFormatting>
  <conditionalFormatting sqref="N49 AO49 AI49 T49 K49 BA49 BD49 BG49 BJ49 BM49 BP49 BS49 BV49 BY49 CB49 Q49 W49 Z49 AC49 AF49 AL49 AR49 AU49 AX49">
    <cfRule type="expression" dxfId="46" priority="26" stopIfTrue="1">
      <formula>J$1=TODAY()+DailyScrumDateModifier</formula>
    </cfRule>
    <cfRule type="expression" dxfId="45" priority="32" stopIfTrue="1">
      <formula>MOD(ROW(),2)</formula>
    </cfRule>
  </conditionalFormatting>
  <conditionalFormatting sqref="H49:I49 CE49 A49:E49">
    <cfRule type="expression" dxfId="44" priority="27" stopIfTrue="1">
      <formula>MOD(ROW(),2)</formula>
    </cfRule>
  </conditionalFormatting>
  <conditionalFormatting sqref="L49 AA49 AD49 AG49 AJ49 AM49 AP49 AS49 AV49 AY49 O49 R49 U49 X49 BB49 BE49 BH49 BK49 BN49 BQ49 BT49 BW49 BZ49 CC49">
    <cfRule type="cellIs" dxfId="43" priority="28" stopIfTrue="1" operator="equal">
      <formula>"In Progress"</formula>
    </cfRule>
    <cfRule type="cellIs" dxfId="42" priority="28" stopIfTrue="1" operator="equal">
      <formula>"Pending"</formula>
    </cfRule>
    <cfRule type="cellIs" dxfId="41" priority="29" stopIfTrue="1" operator="equal">
      <formula>"Complete"</formula>
    </cfRule>
  </conditionalFormatting>
  <conditionalFormatting sqref="G49">
    <cfRule type="cellIs" dxfId="40" priority="113" stopIfTrue="1" operator="equal">
      <formula>"In Progress"</formula>
    </cfRule>
    <cfRule type="cellIs" dxfId="39" priority="113" stopIfTrue="1" operator="equal">
      <formula>"Pending"</formula>
    </cfRule>
    <cfRule type="cellIs" dxfId="38" priority="113" stopIfTrue="1" operator="equal">
      <formula>"Complete"</formula>
    </cfRule>
  </conditionalFormatting>
  <conditionalFormatting sqref="P48 J48 M48 AZ48 BC48 BF48 BI48 BL48 BO48 BR48 BU48 BX48 CA48 V48 Y48 AB48 AE48 AH48 AK48 AN48 AQ48 AT48 AW48 S48">
    <cfRule type="expression" dxfId="37" priority="14" stopIfTrue="1">
      <formula>J$1=TODAY()+DailyScrumDateModifier</formula>
    </cfRule>
    <cfRule type="expression" dxfId="36" priority="20" stopIfTrue="1">
      <formula>MOD(ROW(),2)</formula>
    </cfRule>
  </conditionalFormatting>
  <conditionalFormatting sqref="N48 AO48 AI48 T48 K48 BA48 BD48 BG48 BJ48 BM48 BP48 BS48 BV48 BY48 CB48 Q48 W48 Z48 AC48 AF48 AL48 AR48 AU48 AX48">
    <cfRule type="expression" dxfId="35" priority="15" stopIfTrue="1">
      <formula>J$1=TODAY()+DailyScrumDateModifier</formula>
    </cfRule>
    <cfRule type="expression" dxfId="34" priority="19" stopIfTrue="1">
      <formula>MOD(ROW(),2)</formula>
    </cfRule>
  </conditionalFormatting>
  <conditionalFormatting sqref="H48:I48 CE48 A48:E48">
    <cfRule type="expression" dxfId="33" priority="16" stopIfTrue="1">
      <formula>MOD(ROW(),2)</formula>
    </cfRule>
  </conditionalFormatting>
  <conditionalFormatting sqref="L48 AA48 AD48 AG48 AJ48 AM48 AP48 AS48 AV48 AY48 O48 R48 U48 X48 BB48 BE48 BH48 BK48 BN48 BQ48 BT48 BW48 BZ48 CC48">
    <cfRule type="cellIs" dxfId="32" priority="17" stopIfTrue="1" operator="equal">
      <formula>"In Progress"</formula>
    </cfRule>
    <cfRule type="cellIs" dxfId="31" priority="18" stopIfTrue="1" operator="equal">
      <formula>"Complete"</formula>
    </cfRule>
  </conditionalFormatting>
  <conditionalFormatting sqref="D4:D53 D55:D5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 AW54 AT54 AQ54 AN54 AK54 AH54 AE54 AB54 Y54 V54 CA54 BX54 BU54 BR54 BO54 BL54 BI54 BF54 BC54 AZ54 M54 J54 P54">
    <cfRule type="expression" dxfId="30" priority="2" stopIfTrue="1">
      <formula>J$1=TODAY()+DailyScrumDateModifier</formula>
    </cfRule>
  </conditionalFormatting>
  <conditionalFormatting sqref="AX54 AU54 AR54 AL54 AF54 AC54 Z54 W54 Q54 CB54 BY54 BV54 BS54 BP54 BM54 BJ54 BG54 BD54 BA54 K54 T54 AI54 AO54 N54">
    <cfRule type="expression" dxfId="29" priority="3" stopIfTrue="1">
      <formula>J$1=TODAY()+DailyScrumDateModifier</formula>
    </cfRule>
  </conditionalFormatting>
  <conditionalFormatting sqref="A54:E54 CE54 H54:I54">
    <cfRule type="expression" dxfId="28" priority="4" stopIfTrue="1">
      <formula>MOD(ROW(),2)</formula>
    </cfRule>
  </conditionalFormatting>
  <conditionalFormatting sqref="CC54 BZ54 BW54 BT54 BQ54 BN54 BK54 BH54 BE54 BB54 X54 U54 R54 O54 AY54 AV54 AS54 AP54 AM54 AJ54 AG54 AD54 AA54 L54">
    <cfRule type="cellIs" dxfId="27" priority="5" stopIfTrue="1" operator="equal">
      <formula>"Pending"</formula>
    </cfRule>
  </conditionalFormatting>
  <conditionalFormatting sqref="G54">
    <cfRule type="cellIs" dxfId="26" priority="6" stopIfTrue="1" operator="equal">
      <formula>"Complete"</formula>
    </cfRule>
  </conditionalFormatting>
  <conditionalFormatting sqref="D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4:B68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12700</xdr:rowOff>
              </from>
              <to>
                <xdr:col>4</xdr:col>
                <xdr:colOff>1098550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1174750</xdr:colOff>
                <xdr:row>1</xdr:row>
                <xdr:rowOff>12700</xdr:rowOff>
              </from>
              <to>
                <xdr:col>4</xdr:col>
                <xdr:colOff>2413000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F44" sqref="F44"/>
    </sheetView>
  </sheetViews>
  <sheetFormatPr defaultColWidth="9.1796875" defaultRowHeight="12.5" x14ac:dyDescent="0.25"/>
  <cols>
    <col min="1" max="1" width="9.1796875" style="6"/>
    <col min="2" max="2" width="9.453125" style="6" customWidth="1"/>
    <col min="3" max="4" width="9.1796875" style="6"/>
    <col min="5" max="28" width="9.26953125" style="6" bestFit="1" customWidth="1"/>
    <col min="29" max="29" width="9.7265625" style="6" customWidth="1"/>
    <col min="30" max="34" width="9.26953125" style="6" bestFit="1" customWidth="1"/>
    <col min="35" max="16384" width="9.1796875" style="6"/>
  </cols>
  <sheetData>
    <row r="1" spans="1:1" x14ac:dyDescent="0.25">
      <c r="A1" s="149"/>
    </row>
    <row r="19" spans="1:18" x14ac:dyDescent="0.25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5">
      <c r="A20" s="160" t="s">
        <v>21</v>
      </c>
      <c r="B20" s="161"/>
      <c r="C20" s="162"/>
      <c r="D20" s="163"/>
      <c r="E20" s="164">
        <f t="shared" ref="E20:R20" si="0">INDEX(SprintDates,1,(E19-1)*BurndownColumns+1)</f>
        <v>42485</v>
      </c>
      <c r="F20" s="164">
        <f t="shared" si="0"/>
        <v>42486</v>
      </c>
      <c r="G20" s="164">
        <f t="shared" si="0"/>
        <v>42487</v>
      </c>
      <c r="H20" s="164">
        <f t="shared" si="0"/>
        <v>42488</v>
      </c>
      <c r="I20" s="164">
        <f t="shared" si="0"/>
        <v>42489</v>
      </c>
      <c r="J20" s="164">
        <f t="shared" si="0"/>
        <v>42490</v>
      </c>
      <c r="K20" s="164">
        <f t="shared" si="0"/>
        <v>42491</v>
      </c>
      <c r="L20" s="164">
        <f t="shared" si="0"/>
        <v>42492</v>
      </c>
      <c r="M20" s="164">
        <f t="shared" si="0"/>
        <v>42493</v>
      </c>
      <c r="N20" s="164">
        <f t="shared" si="0"/>
        <v>42494</v>
      </c>
      <c r="O20" s="164">
        <f t="shared" si="0"/>
        <v>42495</v>
      </c>
      <c r="P20" s="164">
        <f t="shared" si="0"/>
        <v>42496</v>
      </c>
      <c r="Q20" s="164">
        <f t="shared" si="0"/>
        <v>42497</v>
      </c>
      <c r="R20" s="164">
        <f t="shared" si="0"/>
        <v>42498</v>
      </c>
    </row>
    <row r="21" spans="1:18" x14ac:dyDescent="0.25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5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436</v>
      </c>
      <c r="F22" s="162">
        <f t="shared" ca="1" si="1"/>
        <v>419</v>
      </c>
      <c r="G22" s="162">
        <f t="shared" ca="1" si="1"/>
        <v>418</v>
      </c>
      <c r="H22" s="162">
        <f t="shared" ca="1" si="1"/>
        <v>418</v>
      </c>
      <c r="I22" s="162">
        <f t="shared" ca="1" si="1"/>
        <v>415</v>
      </c>
      <c r="J22" s="162">
        <f t="shared" ca="1" si="1"/>
        <v>414</v>
      </c>
      <c r="K22" s="162">
        <f t="shared" ca="1" si="1"/>
        <v>410</v>
      </c>
      <c r="L22" s="162">
        <f t="shared" ca="1" si="1"/>
        <v>410</v>
      </c>
      <c r="M22" s="162">
        <f t="shared" ca="1" si="1"/>
        <v>373</v>
      </c>
      <c r="N22" s="162">
        <f t="shared" ca="1" si="1"/>
        <v>373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5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>
        <f t="shared" ca="1" si="2"/>
        <v>8.5</v>
      </c>
      <c r="G23" s="163">
        <f t="shared" ca="1" si="2"/>
        <v>1</v>
      </c>
      <c r="H23" s="163">
        <f t="shared" ca="1" si="2"/>
        <v>0</v>
      </c>
      <c r="I23" s="163">
        <f t="shared" ca="1" si="2"/>
        <v>3</v>
      </c>
      <c r="J23" s="163">
        <f t="shared" ca="1" si="2"/>
        <v>1</v>
      </c>
      <c r="K23" s="163">
        <f t="shared" ca="1" si="2"/>
        <v>4</v>
      </c>
      <c r="L23" s="163">
        <f t="shared" ca="1" si="2"/>
        <v>0</v>
      </c>
      <c r="M23" s="163">
        <f t="shared" ca="1" si="2"/>
        <v>18</v>
      </c>
      <c r="N23" s="163">
        <f t="shared" ca="1" si="2"/>
        <v>0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5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>
        <f ca="1">IF(F20&gt;TODAY(), #N/A, SUM($E23:F23))</f>
        <v>8.5</v>
      </c>
      <c r="G24" s="163">
        <f ca="1">IF(G20&gt;TODAY(), #N/A, SUM($E23:G23))</f>
        <v>9.5</v>
      </c>
      <c r="H24" s="163">
        <f ca="1">IF(H20&gt;TODAY(), #N/A, SUM($E23:H23))</f>
        <v>9.5</v>
      </c>
      <c r="I24" s="163">
        <f ca="1">IF(I20&gt;TODAY(), #N/A, SUM($E23:I23))</f>
        <v>12.5</v>
      </c>
      <c r="J24" s="163">
        <f ca="1">IF(J20&gt;TODAY(), #N/A, SUM($E23:J23))</f>
        <v>13.5</v>
      </c>
      <c r="K24" s="163">
        <f ca="1">IF(K20&gt;TODAY(), #N/A, SUM($E23:K23))</f>
        <v>17.5</v>
      </c>
      <c r="L24" s="163">
        <f ca="1">IF(L20&gt;TODAY(), #N/A, SUM($E23:L23))</f>
        <v>17.5</v>
      </c>
      <c r="M24" s="163">
        <f ca="1">IF(M20&gt;TODAY(), #N/A, SUM($E23:M23))</f>
        <v>35.5</v>
      </c>
      <c r="N24" s="163">
        <f ca="1">IF(N20&gt;TODAY(), #N/A, SUM($E23:N23))</f>
        <v>35.5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5">
      <c r="A25" s="167" t="s">
        <v>22</v>
      </c>
      <c r="B25" s="165"/>
      <c r="C25" s="165"/>
      <c r="D25" s="166"/>
      <c r="E25" s="163">
        <f t="shared" ref="E25:R25" ca="1" si="3">IF(E20&gt;TODAY(), #N/A, E22+E24)</f>
        <v>436</v>
      </c>
      <c r="F25" s="163">
        <f t="shared" ca="1" si="3"/>
        <v>427.5</v>
      </c>
      <c r="G25" s="163">
        <f t="shared" ca="1" si="3"/>
        <v>427.5</v>
      </c>
      <c r="H25" s="163">
        <f t="shared" ca="1" si="3"/>
        <v>427.5</v>
      </c>
      <c r="I25" s="163">
        <f t="shared" ca="1" si="3"/>
        <v>427.5</v>
      </c>
      <c r="J25" s="163">
        <f t="shared" ca="1" si="3"/>
        <v>427.5</v>
      </c>
      <c r="K25" s="163">
        <f t="shared" ca="1" si="3"/>
        <v>427.5</v>
      </c>
      <c r="L25" s="163">
        <f t="shared" ca="1" si="3"/>
        <v>427.5</v>
      </c>
      <c r="M25" s="163">
        <f t="shared" ca="1" si="3"/>
        <v>408.5</v>
      </c>
      <c r="N25" s="163">
        <f t="shared" ca="1" si="3"/>
        <v>408.5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5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5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>
        <f t="shared" ca="1" si="4"/>
        <v>4.25</v>
      </c>
      <c r="G27" s="168">
        <f t="shared" ca="1" si="4"/>
        <v>3.1666666666666665</v>
      </c>
      <c r="H27" s="168">
        <f t="shared" ca="1" si="4"/>
        <v>2.375</v>
      </c>
      <c r="I27" s="168">
        <f t="shared" ca="1" si="4"/>
        <v>2.5</v>
      </c>
      <c r="J27" s="168">
        <f t="shared" ca="1" si="4"/>
        <v>2.25</v>
      </c>
      <c r="K27" s="168">
        <f t="shared" ca="1" si="4"/>
        <v>2.5</v>
      </c>
      <c r="L27" s="168">
        <f t="shared" ca="1" si="4"/>
        <v>2.1875</v>
      </c>
      <c r="M27" s="168">
        <f t="shared" ca="1" si="4"/>
        <v>3.9444444444444446</v>
      </c>
      <c r="N27" s="168">
        <f t="shared" ca="1" si="4"/>
        <v>3.55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5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42485</v>
      </c>
      <c r="F28" s="169">
        <f t="shared" ca="1" si="5"/>
        <v>42584.588235294119</v>
      </c>
      <c r="G28" s="169">
        <f t="shared" ca="1" si="5"/>
        <v>42619</v>
      </c>
      <c r="H28" s="169">
        <f t="shared" ca="1" si="5"/>
        <v>42664</v>
      </c>
      <c r="I28" s="169">
        <f t="shared" ca="1" si="5"/>
        <v>42655</v>
      </c>
      <c r="J28" s="169">
        <f t="shared" ca="1" si="5"/>
        <v>42674</v>
      </c>
      <c r="K28" s="169">
        <f t="shared" ca="1" si="5"/>
        <v>42655</v>
      </c>
      <c r="L28" s="169">
        <f t="shared" ca="1" si="5"/>
        <v>42679.428571428572</v>
      </c>
      <c r="M28" s="169">
        <f t="shared" ca="1" si="5"/>
        <v>42587.563380281688</v>
      </c>
      <c r="N28" s="169">
        <f t="shared" ca="1" si="5"/>
        <v>42599.070422535209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5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42485</v>
      </c>
      <c r="F29" s="169">
        <f t="shared" ca="1" si="6"/>
        <v>42584.588235294119</v>
      </c>
      <c r="G29" s="169">
        <f t="shared" ca="1" si="6"/>
        <v>42634.882352941175</v>
      </c>
      <c r="H29" s="169">
        <f t="shared" ca="1" si="6"/>
        <v>42685.176470588238</v>
      </c>
      <c r="I29" s="169">
        <f t="shared" ca="1" si="6"/>
        <v>42687.571428571428</v>
      </c>
      <c r="J29" s="169">
        <f t="shared" ca="1" si="6"/>
        <v>42674</v>
      </c>
      <c r="K29" s="169">
        <f t="shared" ca="1" si="6"/>
        <v>42655</v>
      </c>
      <c r="L29" s="169">
        <f t="shared" ca="1" si="6"/>
        <v>42679.428571428572</v>
      </c>
      <c r="M29" s="169">
        <f t="shared" ca="1" si="6"/>
        <v>42655</v>
      </c>
      <c r="N29" s="169">
        <f t="shared" ca="1" si="6"/>
        <v>42674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5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5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436</v>
      </c>
      <c r="F31" s="165">
        <f t="shared" ca="1" si="7"/>
        <v>419</v>
      </c>
      <c r="G31" s="165">
        <f t="shared" ca="1" si="7"/>
        <v>416</v>
      </c>
      <c r="H31" s="165">
        <f t="shared" ca="1" si="7"/>
        <v>416</v>
      </c>
      <c r="I31" s="165">
        <f t="shared" ca="1" si="7"/>
        <v>414</v>
      </c>
      <c r="J31" s="165">
        <f t="shared" ca="1" si="7"/>
        <v>414</v>
      </c>
      <c r="K31" s="165">
        <f t="shared" ca="1" si="7"/>
        <v>410</v>
      </c>
      <c r="L31" s="165">
        <f t="shared" ca="1" si="7"/>
        <v>410</v>
      </c>
      <c r="M31" s="165">
        <f t="shared" ca="1" si="7"/>
        <v>362</v>
      </c>
      <c r="N31" s="165">
        <f t="shared" ca="1" si="7"/>
        <v>362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5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3</v>
      </c>
      <c r="H32" s="170">
        <f t="shared" ca="1" si="8"/>
        <v>3</v>
      </c>
      <c r="I32" s="170">
        <f t="shared" ca="1" si="8"/>
        <v>3</v>
      </c>
      <c r="J32" s="170">
        <f t="shared" ca="1" si="8"/>
        <v>0</v>
      </c>
      <c r="K32" s="170">
        <f t="shared" ca="1" si="8"/>
        <v>0</v>
      </c>
      <c r="L32" s="170">
        <f t="shared" ca="1" si="8"/>
        <v>0</v>
      </c>
      <c r="M32" s="170">
        <f t="shared" ca="1" si="8"/>
        <v>25</v>
      </c>
      <c r="N32" s="170">
        <f t="shared" ca="1" si="8"/>
        <v>25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5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8.5</v>
      </c>
      <c r="G33" s="165">
        <f t="shared" ca="1" si="9"/>
        <v>8.5</v>
      </c>
      <c r="H33" s="165">
        <f t="shared" ca="1" si="9"/>
        <v>8.5</v>
      </c>
      <c r="I33" s="165">
        <f t="shared" ca="1" si="9"/>
        <v>10.5</v>
      </c>
      <c r="J33" s="165">
        <f t="shared" ca="1" si="9"/>
        <v>13.5</v>
      </c>
      <c r="K33" s="165">
        <f t="shared" ca="1" si="9"/>
        <v>17.5</v>
      </c>
      <c r="L33" s="165">
        <f t="shared" ca="1" si="9"/>
        <v>17.5</v>
      </c>
      <c r="M33" s="165">
        <f t="shared" ca="1" si="9"/>
        <v>21.5</v>
      </c>
      <c r="N33" s="165">
        <f t="shared" ca="1" si="9"/>
        <v>21.5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5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5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65</v>
      </c>
      <c r="F35" s="165">
        <f t="shared" ca="1" si="10"/>
        <v>59</v>
      </c>
      <c r="G35" s="165">
        <f t="shared" ca="1" si="10"/>
        <v>58</v>
      </c>
      <c r="H35" s="165">
        <f t="shared" ca="1" si="10"/>
        <v>58</v>
      </c>
      <c r="I35" s="165">
        <f t="shared" ca="1" si="10"/>
        <v>57</v>
      </c>
      <c r="J35" s="165">
        <f t="shared" ca="1" si="10"/>
        <v>57</v>
      </c>
      <c r="K35" s="165">
        <f t="shared" ca="1" si="10"/>
        <v>54</v>
      </c>
      <c r="L35" s="165">
        <f t="shared" ca="1" si="10"/>
        <v>54</v>
      </c>
      <c r="M35" s="165">
        <f t="shared" ca="1" si="10"/>
        <v>47</v>
      </c>
      <c r="N35" s="165">
        <f t="shared" ca="1" si="10"/>
        <v>47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5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1</v>
      </c>
      <c r="H36" s="165">
        <f t="shared" ca="1" si="11"/>
        <v>1</v>
      </c>
      <c r="I36" s="165">
        <f t="shared" ca="1" si="11"/>
        <v>1</v>
      </c>
      <c r="J36" s="165">
        <f t="shared" ca="1" si="11"/>
        <v>0</v>
      </c>
      <c r="K36" s="165">
        <f t="shared" ca="1" si="11"/>
        <v>0</v>
      </c>
      <c r="L36" s="165">
        <f t="shared" ca="1" si="11"/>
        <v>0</v>
      </c>
      <c r="M36" s="165">
        <f t="shared" ca="1" si="11"/>
        <v>5</v>
      </c>
      <c r="N36" s="165">
        <f t="shared" ca="1" si="11"/>
        <v>5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5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6</v>
      </c>
      <c r="G37" s="165">
        <f t="shared" ca="1" si="12"/>
        <v>6</v>
      </c>
      <c r="H37" s="165">
        <f t="shared" ca="1" si="12"/>
        <v>6</v>
      </c>
      <c r="I37" s="165">
        <f t="shared" ca="1" si="12"/>
        <v>7</v>
      </c>
      <c r="J37" s="165">
        <f t="shared" ca="1" si="12"/>
        <v>8</v>
      </c>
      <c r="K37" s="165">
        <f t="shared" ca="1" si="12"/>
        <v>11</v>
      </c>
      <c r="L37" s="165">
        <f t="shared" ca="1" si="12"/>
        <v>11</v>
      </c>
      <c r="M37" s="165">
        <f t="shared" ca="1" si="12"/>
        <v>13</v>
      </c>
      <c r="N37" s="165">
        <f t="shared" ca="1" si="12"/>
        <v>13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5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5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5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5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ht="13" x14ac:dyDescent="0.3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5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5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ht="13" x14ac:dyDescent="0.3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ht="13" x14ac:dyDescent="0.3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ht="13" x14ac:dyDescent="0.3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5">
      <c r="A48" s="150"/>
      <c r="C48" s="150"/>
      <c r="D48" s="150"/>
    </row>
    <row r="49" spans="1:1" x14ac:dyDescent="0.25">
      <c r="A49" s="151"/>
    </row>
    <row r="50" spans="1:1" x14ac:dyDescent="0.25">
      <c r="A50" s="150"/>
    </row>
    <row r="51" spans="1:1" x14ac:dyDescent="0.25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C8" sqref="C8"/>
    </sheetView>
  </sheetViews>
  <sheetFormatPr defaultColWidth="9.1796875" defaultRowHeight="12.5" x14ac:dyDescent="0.25"/>
  <cols>
    <col min="1" max="1" width="2.26953125" style="43" customWidth="1"/>
    <col min="2" max="2" width="23.453125" style="44" customWidth="1"/>
    <col min="3" max="4" width="6.54296875" style="44" bestFit="1" customWidth="1"/>
    <col min="5" max="5" width="24.54296875" style="43" customWidth="1"/>
    <col min="6" max="6" width="13.7265625" style="43" customWidth="1"/>
    <col min="7" max="7" width="12.7265625" style="43" bestFit="1" customWidth="1"/>
    <col min="8" max="8" width="1.81640625" style="43" customWidth="1"/>
    <col min="9" max="9" width="6.81640625" style="43" bestFit="1" customWidth="1"/>
    <col min="10" max="10" width="3.1796875" style="43" customWidth="1"/>
    <col min="11" max="15" width="3.7265625" style="43" customWidth="1"/>
    <col min="16" max="16" width="6.81640625" style="43" bestFit="1" customWidth="1"/>
    <col min="17" max="22" width="3.7265625" style="43" customWidth="1"/>
    <col min="23" max="23" width="4" style="43" customWidth="1"/>
    <col min="24" max="28" width="3" style="43" customWidth="1"/>
    <col min="29" max="38" width="9.1796875" style="43"/>
    <col min="39" max="16384" width="9.1796875" style="6"/>
  </cols>
  <sheetData>
    <row r="1" spans="2:28" ht="13" thickBot="1" x14ac:dyDescent="0.3"/>
    <row r="2" spans="2:28" x14ac:dyDescent="0.25">
      <c r="B2" s="45" t="s">
        <v>44</v>
      </c>
      <c r="C2" s="46"/>
      <c r="D2" s="47" t="str">
        <f ca="1">TEXT(E2,"ddd")</f>
        <v>周三</v>
      </c>
      <c r="E2" s="48">
        <f ca="1">TODAY()</f>
        <v>42494</v>
      </c>
    </row>
    <row r="3" spans="2:28" ht="13" thickBot="1" x14ac:dyDescent="0.3">
      <c r="B3" s="49" t="s">
        <v>43</v>
      </c>
      <c r="C3" s="50"/>
      <c r="D3" s="51" t="str">
        <f>TEXT(E3,"ddd")</f>
        <v>Mon</v>
      </c>
      <c r="E3" s="52">
        <v>42485</v>
      </c>
    </row>
    <row r="4" spans="2:28" ht="13" thickBot="1" x14ac:dyDescent="0.3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5" thickBot="1" x14ac:dyDescent="0.35">
      <c r="B5" s="192" t="s">
        <v>47</v>
      </c>
      <c r="C5" s="193"/>
      <c r="D5" s="193"/>
      <c r="E5" s="193"/>
      <c r="F5" s="193"/>
      <c r="G5" s="194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" thickBot="1" x14ac:dyDescent="0.3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>
        <f>IF(D3="Mon",E3-0,IF(D3="Tue",E3-1,IF(D3="Wed",E3-2,IF(D3="Thu",E3-3,IF(D3="Fri",E3-4,IF(D3="Sat",E3-5,IF(D3="Sun",E3-6,"False")))))))</f>
        <v>42485</v>
      </c>
      <c r="J6" s="67">
        <f t="shared" ref="J6:O6" si="0">I6+1</f>
        <v>42486</v>
      </c>
      <c r="K6" s="67">
        <f t="shared" si="0"/>
        <v>42487</v>
      </c>
      <c r="L6" s="67">
        <f t="shared" si="0"/>
        <v>42488</v>
      </c>
      <c r="M6" s="67">
        <f t="shared" si="0"/>
        <v>42489</v>
      </c>
      <c r="N6" s="68">
        <f t="shared" si="0"/>
        <v>42490</v>
      </c>
      <c r="O6" s="68">
        <f t="shared" si="0"/>
        <v>42491</v>
      </c>
      <c r="P6" s="69">
        <f>I6+7</f>
        <v>42492</v>
      </c>
      <c r="Q6" s="67">
        <f t="shared" ref="Q6:V6" si="1">P6+1</f>
        <v>42493</v>
      </c>
      <c r="R6" s="67">
        <f t="shared" si="1"/>
        <v>42494</v>
      </c>
      <c r="S6" s="67">
        <f t="shared" si="1"/>
        <v>42495</v>
      </c>
      <c r="T6" s="67">
        <f t="shared" si="1"/>
        <v>42496</v>
      </c>
      <c r="U6" s="68">
        <f t="shared" si="1"/>
        <v>42497</v>
      </c>
      <c r="V6" s="68">
        <f t="shared" si="1"/>
        <v>42498</v>
      </c>
      <c r="W6" s="195"/>
      <c r="X6" s="196"/>
      <c r="Y6" s="196"/>
      <c r="Z6" s="196"/>
      <c r="AA6" s="196"/>
      <c r="AB6" s="197"/>
    </row>
    <row r="7" spans="2:28" ht="29.25" customHeight="1" thickBot="1" x14ac:dyDescent="0.3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" thickBot="1" x14ac:dyDescent="0.3">
      <c r="B8" s="78" t="s">
        <v>37</v>
      </c>
      <c r="C8" s="79">
        <f>SUM(G8:G25)</f>
        <v>359</v>
      </c>
      <c r="D8" s="80"/>
      <c r="E8" s="81" t="s">
        <v>117</v>
      </c>
      <c r="F8" s="82">
        <v>0.2</v>
      </c>
      <c r="G8" s="83">
        <f>SUMIF(Sprint!$F$4:$F$1861,E8,Sprint!$AX$4:$AX$1861)</f>
        <v>87</v>
      </c>
      <c r="H8" s="84"/>
      <c r="I8" s="90">
        <f t="shared" ref="I8:J18" ca="1" si="2">IF(I$6&lt;$E$3,0,IF(ISBLANK($E8),0,IF(I$6&lt;$E$2,0,1)))</f>
        <v>0</v>
      </c>
      <c r="J8" s="91">
        <f t="shared" ca="1" si="2"/>
        <v>0</v>
      </c>
      <c r="K8" s="91">
        <f t="shared" ref="K8:M23" ca="1" si="3">IF(K$6&lt;$E$3,0,IF(ISBLANK($E8),0,IF(K$6&lt;$E$2,0,1)))</f>
        <v>0</v>
      </c>
      <c r="L8" s="91">
        <f t="shared" ca="1" si="3"/>
        <v>0</v>
      </c>
      <c r="M8" s="91">
        <f t="shared" ca="1" si="3"/>
        <v>0</v>
      </c>
      <c r="N8" s="85"/>
      <c r="O8" s="86"/>
      <c r="P8" s="90">
        <f t="shared" ref="P8:T18" ca="1" si="4">IF(P$6&lt;$E$3,0,IF(ISBLANK($E8),0,IF(P$6&lt;$E$2,0,1)))</f>
        <v>0</v>
      </c>
      <c r="Q8" s="91">
        <f t="shared" ca="1" si="4"/>
        <v>0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8">
        <f t="shared" ref="W8:W25" ca="1" si="5">IF(E8="unassigned",0,(COUNTIF(I8:V8,1)*$C$6)*F8)</f>
        <v>4.8000000000000007</v>
      </c>
      <c r="X8" s="199"/>
      <c r="Y8" s="199"/>
      <c r="Z8" s="199"/>
      <c r="AA8" s="199"/>
      <c r="AB8" s="200"/>
    </row>
    <row r="9" spans="2:28" ht="13" thickBot="1" x14ac:dyDescent="0.3">
      <c r="B9" s="87" t="s">
        <v>38</v>
      </c>
      <c r="C9" s="79">
        <f ca="1">SUM(W8:AB25)</f>
        <v>19.200000000000003</v>
      </c>
      <c r="D9" s="88"/>
      <c r="E9" s="18" t="s">
        <v>118</v>
      </c>
      <c r="F9" s="89">
        <v>0.2</v>
      </c>
      <c r="G9" s="83">
        <f>SUMIF(Sprint!$F$4:$F$1861,E9,Sprint!$AX$4:$AX$1861)</f>
        <v>33</v>
      </c>
      <c r="H9" s="84"/>
      <c r="I9" s="90">
        <f t="shared" ca="1" si="2"/>
        <v>0</v>
      </c>
      <c r="J9" s="91">
        <f t="shared" ca="1" si="2"/>
        <v>0</v>
      </c>
      <c r="K9" s="91">
        <f t="shared" ca="1" si="3"/>
        <v>0</v>
      </c>
      <c r="L9" s="91">
        <f t="shared" ca="1" si="3"/>
        <v>0</v>
      </c>
      <c r="M9" s="91">
        <f t="shared" ca="1" si="3"/>
        <v>0</v>
      </c>
      <c r="N9" s="92"/>
      <c r="O9" s="93"/>
      <c r="P9" s="90">
        <f t="shared" ca="1" si="4"/>
        <v>0</v>
      </c>
      <c r="Q9" s="91">
        <f t="shared" ca="1" si="4"/>
        <v>0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98">
        <f t="shared" ca="1" si="5"/>
        <v>4.8000000000000007</v>
      </c>
      <c r="X9" s="199"/>
      <c r="Y9" s="199"/>
      <c r="Z9" s="199"/>
      <c r="AA9" s="199"/>
      <c r="AB9" s="200"/>
    </row>
    <row r="10" spans="2:28" ht="13" thickBot="1" x14ac:dyDescent="0.3">
      <c r="B10" s="94" t="s">
        <v>39</v>
      </c>
      <c r="C10" s="95">
        <f ca="1">C8-C9</f>
        <v>339.8</v>
      </c>
      <c r="D10" s="62"/>
      <c r="E10" s="18" t="s">
        <v>119</v>
      </c>
      <c r="F10" s="89">
        <v>0.2</v>
      </c>
      <c r="G10" s="83">
        <f>SUMIF(Sprint!$F$4:$F$1861,E10,Sprint!$AX$4:$AX$1861)</f>
        <v>128</v>
      </c>
      <c r="H10" s="84"/>
      <c r="I10" s="90">
        <f t="shared" ca="1" si="2"/>
        <v>0</v>
      </c>
      <c r="J10" s="91">
        <f t="shared" ca="1" si="2"/>
        <v>0</v>
      </c>
      <c r="K10" s="91">
        <f t="shared" ca="1" si="3"/>
        <v>0</v>
      </c>
      <c r="L10" s="91">
        <f t="shared" ca="1" si="3"/>
        <v>0</v>
      </c>
      <c r="M10" s="91">
        <f t="shared" ca="1" si="3"/>
        <v>0</v>
      </c>
      <c r="N10" s="92"/>
      <c r="O10" s="93"/>
      <c r="P10" s="90">
        <f t="shared" ca="1" si="4"/>
        <v>0</v>
      </c>
      <c r="Q10" s="91">
        <f t="shared" ca="1" si="4"/>
        <v>0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198">
        <f t="shared" ca="1" si="5"/>
        <v>4.8000000000000007</v>
      </c>
      <c r="X10" s="199"/>
      <c r="Y10" s="199"/>
      <c r="Z10" s="199"/>
      <c r="AA10" s="199"/>
      <c r="AB10" s="200"/>
    </row>
    <row r="11" spans="2:28" ht="13" thickBot="1" x14ac:dyDescent="0.3">
      <c r="B11" s="96"/>
      <c r="D11" s="97"/>
      <c r="E11" s="18" t="s">
        <v>120</v>
      </c>
      <c r="F11" s="89">
        <v>0.2</v>
      </c>
      <c r="G11" s="83">
        <f>SUMIF(Sprint!$F$4:$F$1861,E11,Sprint!$AX$4:$AX$1861)</f>
        <v>111</v>
      </c>
      <c r="H11" s="84"/>
      <c r="I11" s="90">
        <f t="shared" ca="1" si="2"/>
        <v>0</v>
      </c>
      <c r="J11" s="91">
        <f t="shared" ca="1" si="2"/>
        <v>0</v>
      </c>
      <c r="K11" s="91">
        <f t="shared" ca="1" si="3"/>
        <v>0</v>
      </c>
      <c r="L11" s="91">
        <f t="shared" ca="1" si="3"/>
        <v>0</v>
      </c>
      <c r="M11" s="91">
        <f t="shared" ca="1" si="3"/>
        <v>0</v>
      </c>
      <c r="N11" s="92"/>
      <c r="O11" s="93"/>
      <c r="P11" s="90">
        <f t="shared" ca="1" si="4"/>
        <v>0</v>
      </c>
      <c r="Q11" s="91">
        <f t="shared" ca="1" si="4"/>
        <v>0</v>
      </c>
      <c r="R11" s="91">
        <f t="shared" ca="1" si="4"/>
        <v>1</v>
      </c>
      <c r="S11" s="91">
        <f t="shared" ca="1" si="4"/>
        <v>1</v>
      </c>
      <c r="T11" s="91">
        <f t="shared" ca="1" si="4"/>
        <v>1</v>
      </c>
      <c r="U11" s="92"/>
      <c r="V11" s="93"/>
      <c r="W11" s="198">
        <f t="shared" ca="1" si="5"/>
        <v>4.8000000000000007</v>
      </c>
      <c r="X11" s="199"/>
      <c r="Y11" s="199"/>
      <c r="Z11" s="199"/>
      <c r="AA11" s="199"/>
      <c r="AB11" s="200"/>
    </row>
    <row r="12" spans="2:28" ht="13" thickBot="1" x14ac:dyDescent="0.3">
      <c r="B12" s="96"/>
      <c r="D12" s="97"/>
      <c r="E12" s="18"/>
      <c r="F12" s="89"/>
      <c r="G12" s="83">
        <f>SUMIF(Sprint!$F$4:$F$1861,E12,Sprint!$AX$4:$AX$1861)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8">
        <f t="shared" si="5"/>
        <v>0</v>
      </c>
      <c r="X12" s="199"/>
      <c r="Y12" s="199"/>
      <c r="Z12" s="199"/>
      <c r="AA12" s="199"/>
      <c r="AB12" s="200"/>
    </row>
    <row r="13" spans="2:28" ht="13" thickBot="1" x14ac:dyDescent="0.3">
      <c r="B13" s="96"/>
      <c r="D13" s="98"/>
      <c r="E13" s="18"/>
      <c r="F13" s="89"/>
      <c r="G13" s="83">
        <f>SUMIF(Sprint!$F$4:$F$1861,E13,Sprint!$AX$4:$AX$1861)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8">
        <f t="shared" si="5"/>
        <v>0</v>
      </c>
      <c r="X13" s="199"/>
      <c r="Y13" s="199"/>
      <c r="Z13" s="199"/>
      <c r="AA13" s="199"/>
      <c r="AB13" s="200"/>
    </row>
    <row r="14" spans="2:28" ht="13" thickBot="1" x14ac:dyDescent="0.3">
      <c r="B14" s="96"/>
      <c r="D14" s="62"/>
      <c r="E14" s="18"/>
      <c r="F14" s="89"/>
      <c r="G14" s="83">
        <f>SUMIF(Sprint!$F$4:$F$1861,E14,Sprint!$AX$4:$AX$1861)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8">
        <f t="shared" si="5"/>
        <v>0</v>
      </c>
      <c r="X14" s="199"/>
      <c r="Y14" s="199"/>
      <c r="Z14" s="199"/>
      <c r="AA14" s="199"/>
      <c r="AB14" s="200"/>
    </row>
    <row r="15" spans="2:28" ht="13" thickBot="1" x14ac:dyDescent="0.3">
      <c r="B15" s="96"/>
      <c r="D15" s="62"/>
      <c r="E15" s="18"/>
      <c r="F15" s="89"/>
      <c r="G15" s="83">
        <f>SUMIF(Sprint!$F$4:$F$1861,E15,Sprint!$AX$4:$AX$1861)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8">
        <f t="shared" si="5"/>
        <v>0</v>
      </c>
      <c r="X15" s="199"/>
      <c r="Y15" s="199"/>
      <c r="Z15" s="199"/>
      <c r="AA15" s="199"/>
      <c r="AB15" s="200"/>
    </row>
    <row r="16" spans="2:28" ht="13" thickBot="1" x14ac:dyDescent="0.3">
      <c r="B16" s="96"/>
      <c r="D16" s="98"/>
      <c r="E16" s="18"/>
      <c r="F16" s="89"/>
      <c r="G16" s="83">
        <f>SUMIF(Sprint!$F$4:$F$1861,E16,Sprint!$AX$4:$AX$1861)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8">
        <f t="shared" si="5"/>
        <v>0</v>
      </c>
      <c r="X16" s="199"/>
      <c r="Y16" s="199"/>
      <c r="Z16" s="199"/>
      <c r="AA16" s="199"/>
      <c r="AB16" s="200"/>
    </row>
    <row r="17" spans="2:28" ht="13" thickBot="1" x14ac:dyDescent="0.3">
      <c r="B17" s="96"/>
      <c r="D17" s="98"/>
      <c r="E17" s="18"/>
      <c r="F17" s="89"/>
      <c r="G17" s="83">
        <f>SUMIF(Sprint!$F$4:$F$1861,E17,Sprint!$AX$4:$AX$1861)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8">
        <f t="shared" si="5"/>
        <v>0</v>
      </c>
      <c r="X17" s="199"/>
      <c r="Y17" s="199"/>
      <c r="Z17" s="199"/>
      <c r="AA17" s="199"/>
      <c r="AB17" s="200"/>
    </row>
    <row r="18" spans="2:28" ht="13" thickBot="1" x14ac:dyDescent="0.3">
      <c r="B18" s="96"/>
      <c r="D18" s="98"/>
      <c r="E18" s="18"/>
      <c r="F18" s="89"/>
      <c r="G18" s="83">
        <f>SUMIF(Sprint!$F$4:$F$1861,E18,Sprint!$AX$4:$AX$1861)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8">
        <f t="shared" si="5"/>
        <v>0</v>
      </c>
      <c r="X18" s="199"/>
      <c r="Y18" s="199"/>
      <c r="Z18" s="199"/>
      <c r="AA18" s="199"/>
      <c r="AB18" s="200"/>
    </row>
    <row r="19" spans="2:28" ht="13" thickBot="1" x14ac:dyDescent="0.3">
      <c r="B19" s="96"/>
      <c r="D19" s="98"/>
      <c r="E19" s="18"/>
      <c r="F19" s="89"/>
      <c r="G19" s="83">
        <f>SUMIF(Sprint!$F$4:$F$1861,E19,Sprint!$AX$4:$AX$1861)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8">
        <f t="shared" si="5"/>
        <v>0</v>
      </c>
      <c r="X19" s="199"/>
      <c r="Y19" s="199"/>
      <c r="Z19" s="199"/>
      <c r="AA19" s="199"/>
      <c r="AB19" s="200"/>
    </row>
    <row r="20" spans="2:28" ht="13" thickBot="1" x14ac:dyDescent="0.3">
      <c r="B20" s="96"/>
      <c r="D20" s="98"/>
      <c r="E20" s="18"/>
      <c r="F20" s="89"/>
      <c r="G20" s="83">
        <f>SUMIF(Sprint!$F$4:$F$1861,E20,Sprint!$AX$4:$AX$1861)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8">
        <f t="shared" si="5"/>
        <v>0</v>
      </c>
      <c r="X20" s="199"/>
      <c r="Y20" s="199"/>
      <c r="Z20" s="199"/>
      <c r="AA20" s="199"/>
      <c r="AB20" s="200"/>
    </row>
    <row r="21" spans="2:28" ht="13" thickBot="1" x14ac:dyDescent="0.3">
      <c r="B21" s="96"/>
      <c r="C21" s="100"/>
      <c r="D21" s="98"/>
      <c r="E21" s="18"/>
      <c r="F21" s="89"/>
      <c r="G21" s="83">
        <f>SUMIF(Sprint!$F$4:$F$1861,E21,Sprint!$AX$4:$AX$1861)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8">
        <f t="shared" si="5"/>
        <v>0</v>
      </c>
      <c r="X21" s="199"/>
      <c r="Y21" s="199"/>
      <c r="Z21" s="199"/>
      <c r="AA21" s="199"/>
      <c r="AB21" s="200"/>
    </row>
    <row r="22" spans="2:28" ht="13" thickBot="1" x14ac:dyDescent="0.3">
      <c r="B22" s="70"/>
      <c r="C22" s="101"/>
      <c r="D22" s="98"/>
      <c r="E22" s="18"/>
      <c r="F22" s="102"/>
      <c r="G22" s="83">
        <f>SUMIF(Sprint!$F$4:$F$1861,E22,Sprint!$AX$4:$AX$1861)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8">
        <f t="shared" si="5"/>
        <v>0</v>
      </c>
      <c r="X22" s="199"/>
      <c r="Y22" s="199"/>
      <c r="Z22" s="199"/>
      <c r="AA22" s="199"/>
      <c r="AB22" s="200"/>
    </row>
    <row r="23" spans="2:28" ht="13" thickBot="1" x14ac:dyDescent="0.3">
      <c r="B23" s="70"/>
      <c r="D23" s="98"/>
      <c r="E23" s="18"/>
      <c r="F23" s="102"/>
      <c r="G23" s="83">
        <f>SUMIF(Sprint!$F$4:$F$1861,E23,Sprint!$AX$4:$AX$1861)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8">
        <f t="shared" si="5"/>
        <v>0</v>
      </c>
      <c r="X23" s="199"/>
      <c r="Y23" s="199"/>
      <c r="Z23" s="199"/>
      <c r="AA23" s="199"/>
      <c r="AB23" s="200"/>
    </row>
    <row r="24" spans="2:28" ht="13" thickBot="1" x14ac:dyDescent="0.3">
      <c r="B24" s="96"/>
      <c r="D24" s="98"/>
      <c r="E24" s="18"/>
      <c r="F24" s="102"/>
      <c r="G24" s="83">
        <f>SUMIF(Sprint!$F$4:$F$1861,E24,Sprint!$AX$4:$AX$1861)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8">
        <f t="shared" si="5"/>
        <v>0</v>
      </c>
      <c r="X24" s="199"/>
      <c r="Y24" s="199"/>
      <c r="Z24" s="199"/>
      <c r="AA24" s="199"/>
      <c r="AB24" s="200"/>
    </row>
    <row r="25" spans="2:28" ht="13" thickBot="1" x14ac:dyDescent="0.3">
      <c r="B25" s="96"/>
      <c r="D25" s="98"/>
      <c r="E25" s="103"/>
      <c r="F25" s="104"/>
      <c r="G25" s="83">
        <f>SUMIF(Sprint!$F$4:$F$1861,E25,Sprint!$AX$4:$AX$1861)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8">
        <f t="shared" si="5"/>
        <v>0</v>
      </c>
      <c r="X25" s="199"/>
      <c r="Y25" s="199"/>
      <c r="Z25" s="199"/>
      <c r="AA25" s="199"/>
      <c r="AB25" s="200"/>
    </row>
    <row r="26" spans="2:28" x14ac:dyDescent="0.25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" thickBot="1" x14ac:dyDescent="0.3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5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5">
      <c r="C30" s="123"/>
      <c r="D30" s="123"/>
    </row>
    <row r="31" spans="2:28" x14ac:dyDescent="0.25">
      <c r="B31" s="98"/>
      <c r="C31" s="123"/>
      <c r="D31" s="123"/>
      <c r="E31" s="124"/>
      <c r="J31" s="6"/>
    </row>
    <row r="32" spans="2:28" x14ac:dyDescent="0.25">
      <c r="C32" s="123"/>
      <c r="D32" s="123"/>
      <c r="E32" s="124"/>
      <c r="F32" s="53"/>
    </row>
    <row r="37" spans="2:22" x14ac:dyDescent="0.25">
      <c r="I37" s="125"/>
    </row>
    <row r="38" spans="2:22" x14ac:dyDescent="0.25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5">
      <c r="E40" s="6"/>
    </row>
    <row r="45" spans="2:22" x14ac:dyDescent="0.25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F14" sqref="F14"/>
    </sheetView>
  </sheetViews>
  <sheetFormatPr defaultColWidth="9.1796875" defaultRowHeight="12.5" x14ac:dyDescent="0.25"/>
  <cols>
    <col min="1" max="1" width="2.7265625" style="43" customWidth="1"/>
    <col min="2" max="2" width="18.453125" style="43" bestFit="1" customWidth="1"/>
    <col min="3" max="4" width="14.1796875" style="43" bestFit="1" customWidth="1"/>
    <col min="5" max="6" width="15.1796875" style="43" bestFit="1" customWidth="1"/>
    <col min="7" max="7" width="13.7265625" style="43" customWidth="1"/>
    <col min="8" max="8" width="28.7265625" style="43" customWidth="1"/>
    <col min="9" max="9" width="2.81640625" style="43" bestFit="1" customWidth="1"/>
    <col min="10" max="16384" width="9.1796875" style="43"/>
  </cols>
  <sheetData>
    <row r="4" spans="2:8" x14ac:dyDescent="0.25">
      <c r="B4" s="129" t="s">
        <v>57</v>
      </c>
    </row>
    <row r="5" spans="2:8" ht="13" thickBot="1" x14ac:dyDescent="0.3"/>
    <row r="6" spans="2:8" ht="13.5" thickTop="1" thickBot="1" x14ac:dyDescent="0.3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" thickTop="1" x14ac:dyDescent="0.25">
      <c r="C7" s="135"/>
      <c r="D7" s="136" t="s">
        <v>49</v>
      </c>
      <c r="E7" s="137"/>
      <c r="F7" s="138"/>
      <c r="G7" s="138"/>
      <c r="H7" s="139"/>
    </row>
    <row r="8" spans="2:8" x14ac:dyDescent="0.25">
      <c r="C8" s="140" t="s">
        <v>98</v>
      </c>
      <c r="D8" s="141" t="s">
        <v>117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5">
      <c r="C9" s="140" t="s">
        <v>98</v>
      </c>
      <c r="D9" s="141" t="s">
        <v>118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5">
      <c r="C10" s="140" t="s">
        <v>98</v>
      </c>
      <c r="D10" s="141" t="s">
        <v>119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5">
      <c r="C11" s="140" t="s">
        <v>98</v>
      </c>
      <c r="D11" s="141" t="s">
        <v>120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5">
      <c r="C12" s="140" t="s">
        <v>98</v>
      </c>
      <c r="D12" s="141" t="s">
        <v>115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5">
      <c r="C13" s="140" t="s">
        <v>98</v>
      </c>
      <c r="D13" s="141" t="s">
        <v>115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5">
      <c r="C14" s="140" t="s">
        <v>98</v>
      </c>
      <c r="D14" s="141" t="s">
        <v>115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5">
      <c r="C15" s="140" t="s">
        <v>116</v>
      </c>
      <c r="D15" s="141" t="s">
        <v>116</v>
      </c>
      <c r="E15" s="141"/>
      <c r="F15" s="142"/>
      <c r="G15" s="141"/>
      <c r="H15" s="141"/>
    </row>
    <row r="16" spans="2:8" x14ac:dyDescent="0.25">
      <c r="C16" s="140"/>
      <c r="D16" s="141"/>
      <c r="E16" s="141"/>
      <c r="F16" s="142"/>
      <c r="G16" s="141"/>
      <c r="H16" s="141"/>
    </row>
    <row r="17" spans="3:8" x14ac:dyDescent="0.25">
      <c r="C17" s="140"/>
      <c r="D17" s="141"/>
      <c r="E17" s="141"/>
      <c r="F17" s="142"/>
      <c r="G17" s="141"/>
      <c r="H17" s="141"/>
    </row>
    <row r="18" spans="3:8" x14ac:dyDescent="0.25">
      <c r="C18" s="140"/>
      <c r="D18" s="141"/>
      <c r="E18" s="141"/>
      <c r="F18" s="142"/>
      <c r="G18" s="141"/>
      <c r="H18" s="141"/>
    </row>
    <row r="19" spans="3:8" x14ac:dyDescent="0.25">
      <c r="C19" s="140"/>
      <c r="D19" s="141"/>
      <c r="E19" s="141"/>
      <c r="F19" s="142"/>
      <c r="G19" s="141"/>
      <c r="H19" s="141"/>
    </row>
    <row r="20" spans="3:8" x14ac:dyDescent="0.25">
      <c r="C20" s="140"/>
      <c r="D20" s="141"/>
      <c r="E20" s="141"/>
      <c r="F20" s="142"/>
      <c r="G20" s="141"/>
      <c r="H20" s="141"/>
    </row>
    <row r="21" spans="3:8" x14ac:dyDescent="0.25">
      <c r="C21" s="140"/>
      <c r="D21" s="141"/>
      <c r="E21" s="141"/>
      <c r="F21" s="142"/>
      <c r="G21" s="141"/>
      <c r="H21" s="141"/>
    </row>
    <row r="22" spans="3:8" x14ac:dyDescent="0.25">
      <c r="C22" s="140"/>
      <c r="D22" s="141"/>
      <c r="E22" s="141"/>
      <c r="F22" s="142"/>
      <c r="G22" s="141"/>
      <c r="H22" s="141"/>
    </row>
    <row r="23" spans="3:8" x14ac:dyDescent="0.25">
      <c r="C23" s="140"/>
      <c r="D23" s="141"/>
      <c r="E23" s="141"/>
      <c r="F23" s="142"/>
      <c r="G23" s="141"/>
      <c r="H23" s="141"/>
    </row>
    <row r="24" spans="3:8" x14ac:dyDescent="0.25">
      <c r="C24" s="140"/>
      <c r="D24" s="141"/>
      <c r="E24" s="141"/>
      <c r="F24" s="142"/>
      <c r="G24" s="141"/>
      <c r="H24" s="141"/>
    </row>
    <row r="25" spans="3:8" ht="13" thickBot="1" x14ac:dyDescent="0.3">
      <c r="C25" s="143"/>
      <c r="D25" s="144"/>
      <c r="E25" s="144"/>
      <c r="F25" s="145"/>
      <c r="G25" s="146"/>
      <c r="H25" s="147"/>
    </row>
    <row r="26" spans="3:8" ht="13" thickTop="1" x14ac:dyDescent="0.25"/>
    <row r="41" spans="7:9" x14ac:dyDescent="0.25">
      <c r="G41" s="129"/>
      <c r="I41" s="148"/>
    </row>
    <row r="43" spans="7:9" x14ac:dyDescent="0.25">
      <c r="G43" s="129"/>
      <c r="H43" s="148"/>
      <c r="I43" s="148"/>
    </row>
    <row r="51" spans="4:4" x14ac:dyDescent="0.25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6" workbookViewId="0">
      <selection activeCell="A6" sqref="A6"/>
    </sheetView>
  </sheetViews>
  <sheetFormatPr defaultRowHeight="12.5" x14ac:dyDescent="0.25"/>
  <cols>
    <col min="1" max="1" width="21.54296875" bestFit="1" customWidth="1"/>
    <col min="2" max="2" width="6.7265625" bestFit="1" customWidth="1"/>
    <col min="3" max="3" width="7.26953125" bestFit="1" customWidth="1"/>
  </cols>
  <sheetData>
    <row r="1" spans="1:3" ht="14.5" x14ac:dyDescent="0.35">
      <c r="A1" s="172" t="s">
        <v>104</v>
      </c>
      <c r="B1" s="173"/>
    </row>
    <row r="2" spans="1:3" ht="14.5" x14ac:dyDescent="0.35">
      <c r="A2" s="174" t="s">
        <v>121</v>
      </c>
      <c r="B2" s="175">
        <f>COUNTIF(Sprint!$A$4:$A$99, "Feature")</f>
        <v>0</v>
      </c>
      <c r="C2" s="181" t="e">
        <f>B2/$B$6</f>
        <v>#DIV/0!</v>
      </c>
    </row>
    <row r="3" spans="1:3" ht="14.5" x14ac:dyDescent="0.35">
      <c r="A3" s="174" t="s">
        <v>107</v>
      </c>
      <c r="B3" s="175">
        <f>COUNTIF(Sprint!$A$4:$A$99, "Tax")</f>
        <v>0</v>
      </c>
      <c r="C3" s="181" t="e">
        <f t="shared" ref="C3:C5" si="0">B3/$B$6</f>
        <v>#DIV/0!</v>
      </c>
    </row>
    <row r="4" spans="1:3" ht="14.5" x14ac:dyDescent="0.35">
      <c r="A4" s="174" t="s">
        <v>122</v>
      </c>
      <c r="B4" s="175">
        <f>COUNTIF(Sprint!$A$4:$A$99, "Precondition")</f>
        <v>0</v>
      </c>
      <c r="C4" s="181" t="e">
        <f t="shared" si="0"/>
        <v>#DIV/0!</v>
      </c>
    </row>
    <row r="5" spans="1:3" ht="14.5" x14ac:dyDescent="0.35">
      <c r="A5" s="174" t="s">
        <v>151</v>
      </c>
      <c r="B5" s="175">
        <f>COUNTIF(Sprint!$A$4:$A$99, "Spike")</f>
        <v>0</v>
      </c>
      <c r="C5" s="181" t="e">
        <f t="shared" si="0"/>
        <v>#DIV/0!</v>
      </c>
    </row>
    <row r="6" spans="1:3" ht="14.5" x14ac:dyDescent="0.35">
      <c r="A6" s="176" t="s">
        <v>110</v>
      </c>
      <c r="B6" s="182">
        <f>SUM(B2:B5)</f>
        <v>0</v>
      </c>
      <c r="C6" s="183" t="e">
        <f>SUM(C2:C5)</f>
        <v>#DIV/0!</v>
      </c>
    </row>
    <row r="7" spans="1:3" ht="14.5" x14ac:dyDescent="0.35">
      <c r="A7" s="175"/>
      <c r="B7" s="175"/>
    </row>
    <row r="8" spans="1:3" ht="14.5" x14ac:dyDescent="0.35">
      <c r="A8" s="176" t="s">
        <v>105</v>
      </c>
      <c r="B8" s="175"/>
    </row>
    <row r="9" spans="1:3" ht="14.5" x14ac:dyDescent="0.35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4.5" x14ac:dyDescent="0.35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4.5" x14ac:dyDescent="0.35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4.5" x14ac:dyDescent="0.35">
      <c r="A12" s="174" t="s">
        <v>126</v>
      </c>
      <c r="B12" s="175">
        <f>COUNTIF(Sprint!$B$4:$B$216, "Data Conversions")</f>
        <v>0</v>
      </c>
      <c r="C12" s="181" t="e">
        <f t="shared" ref="C12:C24" si="1">B12/$B$25</f>
        <v>#DIV/0!</v>
      </c>
    </row>
    <row r="13" spans="1:3" ht="14.5" x14ac:dyDescent="0.35">
      <c r="A13" s="174" t="s">
        <v>127</v>
      </c>
      <c r="B13" s="175">
        <f>COUNTIF(Sprint!$B$4:$B$216, "Security")</f>
        <v>0</v>
      </c>
      <c r="C13" s="181" t="e">
        <f t="shared" si="1"/>
        <v>#DIV/0!</v>
      </c>
    </row>
    <row r="14" spans="1:3" ht="14.5" x14ac:dyDescent="0.35">
      <c r="A14" s="174" t="s">
        <v>107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4.5" x14ac:dyDescent="0.35">
      <c r="A15" s="174" t="s">
        <v>128</v>
      </c>
      <c r="B15" s="175">
        <f>COUNTIF(Sprint!$B$4:$B$216, "Views")</f>
        <v>0</v>
      </c>
      <c r="C15" s="181" t="e">
        <f t="shared" si="1"/>
        <v>#DIV/0!</v>
      </c>
    </row>
    <row r="16" spans="1:3" ht="14.5" x14ac:dyDescent="0.35">
      <c r="A16" s="174" t="s">
        <v>106</v>
      </c>
      <c r="B16" s="175">
        <f>COUNTIF(Sprint!$B$4:$B$216, "Lookups")</f>
        <v>0</v>
      </c>
      <c r="C16" s="181" t="e">
        <f t="shared" si="1"/>
        <v>#DIV/0!</v>
      </c>
    </row>
    <row r="17" spans="1:3" ht="14.5" x14ac:dyDescent="0.35">
      <c r="A17" s="174" t="s">
        <v>129</v>
      </c>
      <c r="B17" s="175">
        <f>COUNTIF(Sprint!$B$4:$B$216, "Detail screens")</f>
        <v>0</v>
      </c>
      <c r="C17" s="181" t="e">
        <f t="shared" si="1"/>
        <v>#DIV/0!</v>
      </c>
    </row>
    <row r="18" spans="1:3" ht="14.5" x14ac:dyDescent="0.35">
      <c r="A18" s="174"/>
      <c r="B18" s="175">
        <f>COUNTIF(Sprint!$B$4:$B$216, "Notifications")</f>
        <v>0</v>
      </c>
      <c r="C18" s="181" t="e">
        <f t="shared" si="1"/>
        <v>#DIV/0!</v>
      </c>
    </row>
    <row r="19" spans="1:3" ht="14.5" x14ac:dyDescent="0.35">
      <c r="A19" s="174"/>
      <c r="B19" s="175">
        <f>COUNTIF(Sprint!$B$4:$B$216, "Reports")</f>
        <v>0</v>
      </c>
      <c r="C19" s="181" t="e">
        <f t="shared" si="1"/>
        <v>#DIV/0!</v>
      </c>
    </row>
    <row r="20" spans="1:3" ht="14.5" x14ac:dyDescent="0.35">
      <c r="A20" s="174"/>
      <c r="B20" s="175">
        <f>COUNTIF(Sprint!$B$4:$B$216, "Installation Package")</f>
        <v>0</v>
      </c>
      <c r="C20" s="181" t="e">
        <f t="shared" si="1"/>
        <v>#DIV/0!</v>
      </c>
    </row>
    <row r="21" spans="1:3" ht="14.5" x14ac:dyDescent="0.35">
      <c r="A21" s="174"/>
      <c r="B21" s="175">
        <f>COUNTIF(Sprint!$B$4:$B$216, "Deployment")</f>
        <v>0</v>
      </c>
      <c r="C21" s="181" t="e">
        <f t="shared" si="1"/>
        <v>#DIV/0!</v>
      </c>
    </row>
    <row r="22" spans="1:3" ht="14.5" x14ac:dyDescent="0.35">
      <c r="A22" s="174"/>
      <c r="B22" s="175">
        <f>COUNTIF(Sprint!$B$4:$B$216, "Documentation")</f>
        <v>0</v>
      </c>
      <c r="C22" s="181" t="e">
        <f t="shared" si="1"/>
        <v>#DIV/0!</v>
      </c>
    </row>
    <row r="23" spans="1:3" ht="14.5" x14ac:dyDescent="0.35">
      <c r="A23" s="174"/>
      <c r="B23" s="175">
        <f>COUNTIF(Sprint!$B$4:$B$216, "Testing")</f>
        <v>0</v>
      </c>
      <c r="C23" s="181" t="e">
        <f t="shared" si="1"/>
        <v>#DIV/0!</v>
      </c>
    </row>
    <row r="24" spans="1:3" ht="14.5" x14ac:dyDescent="0.35">
      <c r="A24" s="174"/>
      <c r="B24" s="175">
        <f>COUNTIF(Sprint!$B$4:$B$216, "Project Mgt")</f>
        <v>0</v>
      </c>
      <c r="C24" s="181" t="e">
        <f t="shared" si="1"/>
        <v>#DIV/0!</v>
      </c>
    </row>
    <row r="25" spans="1:3" ht="14.5" x14ac:dyDescent="0.35">
      <c r="A25" s="176" t="s">
        <v>110</v>
      </c>
      <c r="B25" s="180">
        <f>SUM(B9:B24)</f>
        <v>0</v>
      </c>
      <c r="C25" s="181" t="e">
        <f>SUM(C9:C24)</f>
        <v>#DIV/0!</v>
      </c>
    </row>
    <row r="27" spans="1:3" ht="14.5" x14ac:dyDescent="0.35">
      <c r="A27" s="179" t="s">
        <v>109</v>
      </c>
    </row>
    <row r="28" spans="1:3" ht="14.5" x14ac:dyDescent="0.35">
      <c r="A28" s="174" t="s">
        <v>111</v>
      </c>
      <c r="B28" s="175">
        <f ca="1">COUNTIF(Sprint!$G$4:$G$99, "Complete")</f>
        <v>13</v>
      </c>
      <c r="C28" s="181">
        <f ca="1">B28/$B$33</f>
        <v>0.2</v>
      </c>
    </row>
    <row r="29" spans="1:3" ht="14.5" x14ac:dyDescent="0.35">
      <c r="A29" s="174" t="s">
        <v>112</v>
      </c>
      <c r="B29" s="175">
        <f ca="1">COUNTIF(Sprint!$G$4:$G$99, "In Progress")</f>
        <v>5</v>
      </c>
      <c r="C29" s="181">
        <f t="shared" ref="C29:C32" ca="1" si="2">B29/$B$33</f>
        <v>7.6923076923076927E-2</v>
      </c>
    </row>
    <row r="30" spans="1:3" ht="14.5" x14ac:dyDescent="0.35">
      <c r="A30" s="174" t="s">
        <v>113</v>
      </c>
      <c r="B30" s="175">
        <f ca="1">COUNTIF(Sprint!$G$4:$G$99, "Pending")</f>
        <v>47</v>
      </c>
      <c r="C30" s="181">
        <f t="shared" ca="1" si="2"/>
        <v>0.72307692307692306</v>
      </c>
    </row>
    <row r="31" spans="1:3" ht="14.5" x14ac:dyDescent="0.35">
      <c r="A31" s="174" t="s">
        <v>108</v>
      </c>
      <c r="B31" s="175">
        <f ca="1">COUNTIF(Sprint!$G$4:$G$99, "Postponed")</f>
        <v>0</v>
      </c>
      <c r="C31" s="181">
        <f t="shared" ca="1" si="2"/>
        <v>0</v>
      </c>
    </row>
    <row r="32" spans="1:3" ht="14.5" x14ac:dyDescent="0.35">
      <c r="A32" s="179" t="s">
        <v>114</v>
      </c>
      <c r="B32" s="175">
        <f ca="1">COUNTIF(Sprint!$G$4:$G$99, "Cancelled")</f>
        <v>0</v>
      </c>
      <c r="C32" s="181">
        <f t="shared" ca="1" si="2"/>
        <v>0</v>
      </c>
    </row>
    <row r="33" spans="1:3" ht="14.5" x14ac:dyDescent="0.35">
      <c r="A33" s="184" t="s">
        <v>110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Coen "Ninja hacker" Stange</dc:creator>
  <cp:lastModifiedBy>Wen</cp:lastModifiedBy>
  <cp:revision>1</cp:revision>
  <cp:lastPrinted>2005-08-15T09:18:22Z</cp:lastPrinted>
  <dcterms:created xsi:type="dcterms:W3CDTF">2005-01-26T21:50:47Z</dcterms:created>
  <dcterms:modified xsi:type="dcterms:W3CDTF">2016-05-04T13:03:09Z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