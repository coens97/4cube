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ICT\4cube\Progress\"/>
    </mc:Choice>
  </mc:AlternateContent>
  <bookViews>
    <workbookView xWindow="750" yWindow="1800" windowWidth="14640" windowHeight="6228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R11" i="7"/>
  <c r="U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AD9" i="7"/>
  <c r="G9" i="7" s="1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G13" i="7" s="1"/>
  <c r="AS46" i="7"/>
  <c r="AV46" i="7" s="1"/>
  <c r="AY46" i="7" s="1"/>
  <c r="AA12" i="7"/>
  <c r="G34" i="7"/>
  <c r="G56" i="7"/>
  <c r="G65" i="7"/>
  <c r="G40" i="7"/>
  <c r="AG58" i="7"/>
  <c r="AD20" i="7"/>
  <c r="AJ8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25" i="7" s="1"/>
  <c r="AJ25" i="7" s="1"/>
  <c r="G25" i="7" s="1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13" i="7" s="1"/>
  <c r="AS13" i="7" s="1"/>
  <c r="AV13" i="7" s="1"/>
  <c r="AY13" i="7" s="1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G12" i="7" s="1"/>
  <c r="AJ22" i="7"/>
  <c r="AJ68" i="7"/>
  <c r="AM11" i="7" l="1"/>
  <c r="AP11" i="7" s="1"/>
  <c r="AS11" i="7" s="1"/>
  <c r="AV11" i="7" s="1"/>
  <c r="AY11" i="7" s="1"/>
  <c r="G11" i="7"/>
  <c r="AM22" i="7"/>
  <c r="AP22" i="7" s="1"/>
  <c r="AS22" i="7" s="1"/>
  <c r="AV22" i="7" s="1"/>
  <c r="AY22" i="7" s="1"/>
  <c r="G22" i="7"/>
  <c r="AG5" i="7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11" i="7" l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27" i="7"/>
  <c r="AP27" i="7" s="1"/>
  <c r="AS27" i="7" s="1"/>
  <c r="AV27" i="7" s="1"/>
  <c r="AY27" i="7" s="1"/>
  <c r="G27" i="7"/>
  <c r="AM26" i="7"/>
  <c r="AP26" i="7" s="1"/>
  <c r="AS26" i="7" s="1"/>
  <c r="AV26" i="7" s="1"/>
  <c r="AY26" i="7" s="1"/>
  <c r="G26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B27" i="7" l="1"/>
  <c r="BE27" i="7" s="1"/>
  <c r="BH27" i="7" s="1"/>
  <c r="BK27" i="7" s="1"/>
  <c r="BN27" i="7" s="1"/>
  <c r="BQ27" i="7" s="1"/>
  <c r="BT27" i="7" s="1"/>
  <c r="BW27" i="7" s="1"/>
  <c r="BZ27" i="7" s="1"/>
  <c r="CC27" i="7" s="1"/>
  <c r="CE27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T48" i="7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74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<sst xmlns="http://schemas.openxmlformats.org/spreadsheetml/2006/main" count="548" uniqueCount="163">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</sst>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好" xfId="31" builtinId="26" customBuiltin="1"/>
    <cellStyle name="差" xfId="25" builtinId="27" customBuiltin="1"/>
    <cellStyle name="常规" xfId="0" builtinId="0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检查单元格" xfId="27" builtinId="23" customBuiltin="1"/>
    <cellStyle name="汇总" xfId="43" builtinId="25" customBuiltin="1"/>
    <cellStyle name="注释" xfId="40" builtinId="1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警告文本" xfId="44" builtinId="11" customBuiltin="1"/>
    <cellStyle name="计算" xfId="26" builtinId="22" customBuiltin="1"/>
    <cellStyle name="超链接" xfId="36" builtinId="8"/>
    <cellStyle name="输入" xfId="37" builtinId="20" customBuiltin="1"/>
    <cellStyle name="输出" xfId="41" builtinId="21" customBuiltin="1"/>
    <cellStyle name="适中" xfId="39" builtinId="28" customBuiltin="1"/>
    <cellStyle name="链接单元格" xfId="38" builtinId="24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60</c:v>
                </c:pt>
                <c:pt idx="5">
                  <c:v>60</c:v>
                </c:pt>
                <c:pt idx="6">
                  <c:v>57</c:v>
                </c:pt>
                <c:pt idx="7">
                  <c:v>57</c:v>
                </c:pt>
                <c:pt idx="8">
                  <c:v>54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424</c:v>
                </c:pt>
                <c:pt idx="5">
                  <c:v>424</c:v>
                </c:pt>
                <c:pt idx="6">
                  <c:v>420</c:v>
                </c:pt>
                <c:pt idx="7">
                  <c:v>420</c:v>
                </c:pt>
                <c:pt idx="8">
                  <c:v>388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425</c:v>
                </c:pt>
                <c:pt idx="5">
                  <c:v>424</c:v>
                </c:pt>
                <c:pt idx="6">
                  <c:v>420</c:v>
                </c:pt>
                <c:pt idx="7">
                  <c:v>420</c:v>
                </c:pt>
                <c:pt idx="8">
                  <c:v>393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7.5</c:v>
                </c:pt>
                <c:pt idx="5">
                  <c:v>8.5</c:v>
                </c:pt>
                <c:pt idx="6">
                  <c:v>12.5</c:v>
                </c:pt>
                <c:pt idx="7">
                  <c:v>12.5</c:v>
                </c:pt>
                <c:pt idx="8">
                  <c:v>24.5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1</xdr:row>
          <xdr:rowOff>11430</xdr:rowOff>
        </xdr:from>
        <xdr:to>
          <xdr:col>4</xdr:col>
          <xdr:colOff>2411730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11430</xdr:rowOff>
        </xdr:from>
        <xdr:to>
          <xdr:col>4</xdr:col>
          <xdr:colOff>1097280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AA4" activePane="bottomRight" state="frozen"/>
      <selection pane="topRight" activeCell="F1" sqref="F1"/>
      <selection pane="bottomLeft" activeCell="A3" sqref="A3"/>
      <selection pane="bottomRight" activeCell="F14" sqref="F14"/>
    </sheetView>
  </sheetViews>
  <sheetFormatPr defaultColWidth="9.1640625" defaultRowHeight="12.3" outlineLevelCol="1" x14ac:dyDescent="0.4"/>
  <cols>
    <col min="1" max="1" width="12.1640625" style="6" customWidth="1"/>
    <col min="2" max="2" width="16.5546875" style="6" bestFit="1" customWidth="1"/>
    <col min="3" max="3" width="12.1640625" style="6" customWidth="1"/>
    <col min="4" max="4" width="6" style="6" customWidth="1"/>
    <col min="5" max="5" width="46.1640625" style="6" customWidth="1"/>
    <col min="6" max="6" width="9" style="6" bestFit="1" customWidth="1"/>
    <col min="7" max="7" width="7" style="6" customWidth="1"/>
    <col min="8" max="8" width="5.27734375" style="6" bestFit="1" customWidth="1"/>
    <col min="9" max="9" width="4.27734375" style="6" customWidth="1"/>
    <col min="10" max="11" width="3.27734375" style="159" customWidth="1"/>
    <col min="12" max="12" width="2.44140625" style="6" customWidth="1"/>
    <col min="13" max="14" width="3.27734375" style="6" customWidth="1"/>
    <col min="15" max="15" width="2.44140625" style="6" customWidth="1"/>
    <col min="16" max="17" width="3.27734375" style="6" customWidth="1"/>
    <col min="18" max="18" width="2.44140625" style="6" customWidth="1"/>
    <col min="19" max="20" width="3.27734375" style="6" customWidth="1"/>
    <col min="21" max="21" width="2.44140625" style="6" customWidth="1"/>
    <col min="22" max="23" width="3.27734375" style="6" customWidth="1"/>
    <col min="24" max="24" width="2.44140625" style="6" customWidth="1"/>
    <col min="25" max="26" width="3.27734375" style="6" customWidth="1"/>
    <col min="27" max="27" width="2.44140625" style="6" customWidth="1"/>
    <col min="28" max="29" width="3.27734375" style="6" customWidth="1"/>
    <col min="30" max="30" width="2.44140625" style="6" customWidth="1"/>
    <col min="31" max="32" width="3.27734375" style="6" customWidth="1"/>
    <col min="33" max="33" width="2.44140625" style="6" customWidth="1"/>
    <col min="34" max="35" width="3.27734375" style="6" customWidth="1"/>
    <col min="36" max="36" width="2.44140625" style="6" customWidth="1"/>
    <col min="37" max="38" width="3.27734375" style="6" customWidth="1"/>
    <col min="39" max="39" width="2.44140625" style="6" customWidth="1"/>
    <col min="40" max="41" width="3.27734375" style="6" customWidth="1"/>
    <col min="42" max="42" width="2.44140625" style="6" customWidth="1"/>
    <col min="43" max="44" width="3.27734375" style="6" customWidth="1"/>
    <col min="45" max="45" width="2.44140625" style="6" customWidth="1"/>
    <col min="46" max="47" width="3.27734375" style="6" customWidth="1"/>
    <col min="48" max="48" width="2.44140625" style="6" customWidth="1"/>
    <col min="49" max="50" width="3.27734375" style="6" customWidth="1"/>
    <col min="51" max="51" width="2.44140625" style="6" customWidth="1"/>
    <col min="52" max="53" width="3.27734375" style="6" hidden="1" customWidth="1" outlineLevel="1"/>
    <col min="54" max="54" width="2.44140625" style="6" hidden="1" customWidth="1" outlineLevel="1"/>
    <col min="55" max="56" width="3.27734375" style="6" hidden="1" customWidth="1" outlineLevel="1"/>
    <col min="57" max="57" width="2.44140625" style="6" hidden="1" customWidth="1" outlineLevel="1"/>
    <col min="58" max="59" width="3.27734375" style="6" hidden="1" customWidth="1" outlineLevel="1"/>
    <col min="60" max="60" width="2.44140625" style="6" hidden="1" customWidth="1" outlineLevel="1"/>
    <col min="61" max="62" width="3.27734375" style="6" hidden="1" customWidth="1" outlineLevel="1"/>
    <col min="63" max="63" width="2.44140625" style="6" hidden="1" customWidth="1" outlineLevel="1"/>
    <col min="64" max="65" width="3.27734375" style="6" hidden="1" customWidth="1" outlineLevel="1"/>
    <col min="66" max="66" width="2.44140625" style="6" hidden="1" customWidth="1" outlineLevel="1"/>
    <col min="67" max="68" width="3.27734375" style="6" hidden="1" customWidth="1" outlineLevel="1"/>
    <col min="69" max="69" width="2.44140625" style="6" hidden="1" customWidth="1" outlineLevel="1"/>
    <col min="70" max="71" width="3.27734375" style="6" hidden="1" customWidth="1" outlineLevel="1"/>
    <col min="72" max="72" width="2.44140625" style="6" hidden="1" customWidth="1" outlineLevel="1"/>
    <col min="73" max="74" width="3.27734375" style="6" hidden="1" customWidth="1" outlineLevel="1"/>
    <col min="75" max="75" width="2.44140625" style="6" hidden="1" customWidth="1" outlineLevel="1"/>
    <col min="76" max="77" width="3.27734375" style="6" hidden="1" customWidth="1" outlineLevel="1"/>
    <col min="78" max="78" width="2.44140625" style="6" hidden="1" customWidth="1" outlineLevel="1"/>
    <col min="79" max="80" width="3.27734375" style="6" hidden="1" customWidth="1" outlineLevel="1"/>
    <col min="81" max="81" width="2.44140625" style="6" hidden="1" customWidth="1" outlineLevel="1"/>
    <col min="82" max="82" width="2.44140625" style="6" customWidth="1" collapsed="1"/>
    <col min="83" max="83" width="8.1640625" style="6" customWidth="1"/>
    <col min="84" max="16384" width="9.1640625" style="6"/>
  </cols>
  <sheetData>
    <row r="1" spans="1:83" x14ac:dyDescent="0.4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4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4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4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4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4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4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4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8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4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Complete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4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4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Complete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2</v>
      </c>
      <c r="AC11" s="22">
        <f t="shared" si="6"/>
        <v>0</v>
      </c>
      <c r="AD11" s="23" t="str">
        <f>IF(SUMPRODUCT($J$71:AC$71,$J11:AC11)&lt;0.5, "Pending", IF(AC11&lt;0.5, "Complete", "In Progress"))</f>
        <v>Complete</v>
      </c>
      <c r="AE11" s="22">
        <v>0</v>
      </c>
      <c r="AF11" s="22">
        <f t="shared" si="7"/>
        <v>0</v>
      </c>
      <c r="AG11" s="23" t="str">
        <f>IF(SUMPRODUCT($J$71:AF$71,$J11:AF11)&lt;0.5, "Pending", IF(AF11&lt;0.5, "Complete", "In Progress"))</f>
        <v>Complete</v>
      </c>
      <c r="AH11" s="22">
        <v>0</v>
      </c>
      <c r="AI11" s="22">
        <f t="shared" si="8"/>
        <v>0</v>
      </c>
      <c r="AJ11" s="23" t="str">
        <f>IF(SUMPRODUCT($J$71:AI$71,$J11:AI11)&lt;0.5, "Pending", IF(AI11&lt;0.5, "Complete", "In Progress"))</f>
        <v>Complete</v>
      </c>
      <c r="AK11" s="22">
        <v>0</v>
      </c>
      <c r="AL11" s="22">
        <f t="shared" si="9"/>
        <v>0</v>
      </c>
      <c r="AM11" s="23" t="str">
        <f>IF(SUMPRODUCT($J$71:AL$71,$J11:AL11)&lt;0.5, "Pending", IF(AL11&lt;0.5, "Complete", "In Progress"))</f>
        <v>Complete</v>
      </c>
      <c r="AN11" s="22">
        <v>0</v>
      </c>
      <c r="AO11" s="22">
        <f t="shared" si="10"/>
        <v>0</v>
      </c>
      <c r="AP11" s="23" t="str">
        <f>IF(SUMPRODUCT($J$71:AO$71,$J11:AO11)&lt;0.5, "Pending", IF(AO11&lt;0.5, "Complete", "In Progress"))</f>
        <v>Complete</v>
      </c>
      <c r="AQ11" s="22">
        <v>0</v>
      </c>
      <c r="AR11" s="22">
        <f t="shared" si="11"/>
        <v>0</v>
      </c>
      <c r="AS11" s="23" t="str">
        <f>IF(SUMPRODUCT($J$71:AR$71,$J11:AR11)&lt;0.5, "Pending", IF(AR11&lt;0.5, "Complete", "In Progress"))</f>
        <v>Complete</v>
      </c>
      <c r="AT11" s="22">
        <v>0</v>
      </c>
      <c r="AU11" s="22">
        <f t="shared" si="12"/>
        <v>0</v>
      </c>
      <c r="AV11" s="23" t="str">
        <f>IF(SUMPRODUCT($J$71:AU$71,$J11:AU11)&lt;0.5, "Pending", IF(AU11&lt;0.5, "Complete", "In Progress"))</f>
        <v>Complete</v>
      </c>
      <c r="AW11" s="22">
        <v>0</v>
      </c>
      <c r="AX11" s="22">
        <f t="shared" si="13"/>
        <v>0</v>
      </c>
      <c r="AY11" s="23" t="str">
        <f>IF(SUMPRODUCT($J$71:AX$71,$J11:AX11)&lt;0.5,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2</v>
      </c>
    </row>
    <row r="12" spans="1:83" x14ac:dyDescent="0.4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Complete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4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Complete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1</v>
      </c>
      <c r="AC13" s="22">
        <f t="shared" si="6"/>
        <v>0</v>
      </c>
      <c r="AD13" s="23" t="str">
        <f>IF(SUMPRODUCT($J$71:AC$71,$J13:AC13)&lt;0.5, "Pending", IF(AC13&lt;0.5, "Complete", "In Progress"))</f>
        <v>Complete</v>
      </c>
      <c r="AE13" s="22">
        <v>0</v>
      </c>
      <c r="AF13" s="22">
        <f t="shared" si="7"/>
        <v>0</v>
      </c>
      <c r="AG13" s="23" t="str">
        <f>IF(SUMPRODUCT($J$71:AF$71,$J13:AF13)&lt;0.5, "Pending", IF(AF13&lt;0.5, "Complete", "In Progress"))</f>
        <v>Complete</v>
      </c>
      <c r="AH13" s="22">
        <v>0</v>
      </c>
      <c r="AI13" s="22">
        <f t="shared" si="8"/>
        <v>0</v>
      </c>
      <c r="AJ13" s="23" t="str">
        <f>IF(SUMPRODUCT($J$71:AI$71,$J13:AI13)&lt;0.5, "Pending", IF(AI13&lt;0.5, "Complete", "In Progress"))</f>
        <v>Complete</v>
      </c>
      <c r="AK13" s="22">
        <v>0</v>
      </c>
      <c r="AL13" s="22">
        <f t="shared" si="9"/>
        <v>0</v>
      </c>
      <c r="AM13" s="23" t="str">
        <f>IF(SUMPRODUCT($J$71:AL$71,$J13:AL13)&lt;0.5, "Pending", IF(AL13&lt;0.5, "Complete", "In Progress"))</f>
        <v>Complete</v>
      </c>
      <c r="AN13" s="22">
        <v>0</v>
      </c>
      <c r="AO13" s="22">
        <f t="shared" si="10"/>
        <v>0</v>
      </c>
      <c r="AP13" s="23" t="str">
        <f>IF(SUMPRODUCT($J$71:AO$71,$J13:AO13)&lt;0.5, "Pending", IF(AO13&lt;0.5, "Complete", "In Progress"))</f>
        <v>Complete</v>
      </c>
      <c r="AQ13" s="22">
        <v>0</v>
      </c>
      <c r="AR13" s="22">
        <f t="shared" si="11"/>
        <v>0</v>
      </c>
      <c r="AS13" s="23" t="str">
        <f>IF(SUMPRODUCT($J$71:AR$71,$J13:AR13)&lt;0.5, "Pending", IF(AR13&lt;0.5, "Complete", "In Progress"))</f>
        <v>Complete</v>
      </c>
      <c r="AT13" s="22">
        <v>0</v>
      </c>
      <c r="AU13" s="22">
        <f t="shared" si="12"/>
        <v>0</v>
      </c>
      <c r="AV13" s="23" t="str">
        <f>IF(SUMPRODUCT($J$71:AU$71,$J13:AU13)&lt;0.5, "Pending", IF(AU13&lt;0.5, "Complete", "In Progress"))</f>
        <v>Complete</v>
      </c>
      <c r="AW13" s="22">
        <v>0</v>
      </c>
      <c r="AX13" s="22">
        <f t="shared" si="13"/>
        <v>0</v>
      </c>
      <c r="AY13" s="23" t="str">
        <f>IF(SUMPRODUCT($J$71:AX$71,$J13:AX13)&lt;0.5,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1</v>
      </c>
    </row>
    <row r="14" spans="1:83" x14ac:dyDescent="0.4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4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4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4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4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4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4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4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4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In Progress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4</v>
      </c>
      <c r="AI22" s="22">
        <v>3</v>
      </c>
      <c r="AJ22" s="23" t="str">
        <f>IF(SUMPRODUCT($J$71:AI$71,$J22:AI22)&lt;0.5, "Pending", IF(AI22&lt;0.5, "Complete", "In Progress"))</f>
        <v>In Progress</v>
      </c>
      <c r="AK22" s="22">
        <v>0</v>
      </c>
      <c r="AL22" s="22">
        <f t="shared" si="9"/>
        <v>3</v>
      </c>
      <c r="AM22" s="23" t="str">
        <f>IF(SUMPRODUCT($J$71:AL$71,$J22:AL22)&lt;0.5, "Pending", IF(AL22&lt;0.5, "Complete", "In Progress"))</f>
        <v>In Progress</v>
      </c>
      <c r="AN22" s="22">
        <v>0</v>
      </c>
      <c r="AO22" s="22">
        <f t="shared" si="10"/>
        <v>3</v>
      </c>
      <c r="AP22" s="23" t="str">
        <f>IF(SUMPRODUCT($J$71:AO$71,$J22:AO22)&lt;0.5, "Pending", IF(AO22&lt;0.5, "Complete", "In Progress"))</f>
        <v>In Progress</v>
      </c>
      <c r="AQ22" s="22">
        <v>0</v>
      </c>
      <c r="AR22" s="22">
        <f t="shared" si="11"/>
        <v>3</v>
      </c>
      <c r="AS22" s="23" t="str">
        <f>IF(SUMPRODUCT($J$71:AR$71,$J22:AR22)&lt;0.5, "Pending", IF(AR22&lt;0.5, "Complete", "In Progress"))</f>
        <v>In Progress</v>
      </c>
      <c r="AT22" s="22">
        <v>0</v>
      </c>
      <c r="AU22" s="22">
        <f t="shared" si="12"/>
        <v>3</v>
      </c>
      <c r="AV22" s="23" t="str">
        <f>IF(SUMPRODUCT($J$71:AU$71,$J22:AU22)&lt;0.5, "Pending", IF(AU22&lt;0.5, "Complete", "In Progress"))</f>
        <v>In Progress</v>
      </c>
      <c r="AW22" s="22">
        <v>0</v>
      </c>
      <c r="AX22" s="22">
        <f t="shared" si="13"/>
        <v>3</v>
      </c>
      <c r="AY22" s="23" t="str">
        <f>IF(SUMPRODUCT($J$71:AX$71,$J22:AX22)&lt;0.5,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4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4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4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4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In Progress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4</v>
      </c>
      <c r="AI26" s="22">
        <v>1</v>
      </c>
      <c r="AJ26" s="23" t="str">
        <f>IF(SUMPRODUCT($J$71:AI$71,$J26:AI26)&lt;0.5, "Pending", IF(AI26&lt;0.5, "Complete", "In Progress"))</f>
        <v>In Progress</v>
      </c>
      <c r="AK26" s="22">
        <v>0</v>
      </c>
      <c r="AL26" s="22">
        <f t="shared" si="9"/>
        <v>1</v>
      </c>
      <c r="AM26" s="23" t="str">
        <f>IF(SUMPRODUCT($J$71:AL$71,$J26:AL26)&lt;0.5, "Pending", IF(AL26&lt;0.5, "Complete", "In Progress"))</f>
        <v>In Progress</v>
      </c>
      <c r="AN26" s="22">
        <v>0</v>
      </c>
      <c r="AO26" s="22">
        <f t="shared" si="10"/>
        <v>1</v>
      </c>
      <c r="AP26" s="23" t="str">
        <f>IF(SUMPRODUCT($J$71:AO$71,$J26:AO26)&lt;0.5, "Pending", IF(AO26&lt;0.5, "Complete", "In Progress"))</f>
        <v>In Progress</v>
      </c>
      <c r="AQ26" s="22">
        <v>0</v>
      </c>
      <c r="AR26" s="22">
        <f t="shared" si="11"/>
        <v>1</v>
      </c>
      <c r="AS26" s="23" t="str">
        <f>IF(SUMPRODUCT($J$71:AR$71,$J26:AR26)&lt;0.5, "Pending", IF(AR26&lt;0.5, "Complete", "In Progress"))</f>
        <v>In Progress</v>
      </c>
      <c r="AT26" s="22">
        <v>0</v>
      </c>
      <c r="AU26" s="22">
        <f t="shared" si="12"/>
        <v>1</v>
      </c>
      <c r="AV26" s="23" t="str">
        <f>IF(SUMPRODUCT($J$71:AU$71,$J26:AU26)&lt;0.5, "Pending", IF(AU26&lt;0.5, "Complete", "In Progress"))</f>
        <v>In Progress</v>
      </c>
      <c r="AW26" s="22">
        <v>0</v>
      </c>
      <c r="AX26" s="22">
        <f t="shared" si="13"/>
        <v>1</v>
      </c>
      <c r="AY26" s="23" t="str">
        <f>IF(SUMPRODUCT($J$71:AX$71,$J26:AX26)&lt;0.5,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4</v>
      </c>
    </row>
    <row r="27" spans="1:83" x14ac:dyDescent="0.4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In Progress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4</v>
      </c>
      <c r="AI27" s="22">
        <v>1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9"/>
        <v>1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10"/>
        <v>1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11"/>
        <v>1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12"/>
        <v>1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13"/>
        <v>1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4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4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4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4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4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4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4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4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4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4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4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4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4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4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4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4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4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4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4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4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4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4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4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4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4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4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4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4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4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4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4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4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4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4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4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4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4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4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4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4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4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4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4">
      <c r="A70" s="29"/>
      <c r="B70" s="29"/>
      <c r="C70" s="29"/>
      <c r="D70" s="29"/>
      <c r="E70" s="29"/>
      <c r="F70" s="29"/>
      <c r="G70" s="1"/>
      <c r="H70" s="29"/>
      <c r="I70" s="29"/>
      <c r="J70" s="189" t="s">
        <v>9</v>
      </c>
      <c r="K70" s="190"/>
      <c r="L70" s="30">
        <v>1</v>
      </c>
      <c r="M70" s="187" t="s">
        <v>9</v>
      </c>
      <c r="N70" s="191"/>
      <c r="O70" s="30">
        <f>L70+1</f>
        <v>2</v>
      </c>
      <c r="P70" s="187" t="s">
        <v>9</v>
      </c>
      <c r="Q70" s="191"/>
      <c r="R70" s="30">
        <f>O70+1</f>
        <v>3</v>
      </c>
      <c r="S70" s="187" t="s">
        <v>9</v>
      </c>
      <c r="T70" s="191"/>
      <c r="U70" s="30">
        <f>R70+1</f>
        <v>4</v>
      </c>
      <c r="V70" s="187" t="s">
        <v>9</v>
      </c>
      <c r="W70" s="191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91"/>
      <c r="BB70" s="30" t="e">
        <f>#REF!+1</f>
        <v>#REF!</v>
      </c>
      <c r="BC70" s="187" t="s">
        <v>9</v>
      </c>
      <c r="BD70" s="191"/>
      <c r="BE70" s="30" t="e">
        <f>BB70+1</f>
        <v>#REF!</v>
      </c>
      <c r="BF70" s="187" t="s">
        <v>9</v>
      </c>
      <c r="BG70" s="191"/>
      <c r="BH70" s="30" t="e">
        <f>BE70+1</f>
        <v>#REF!</v>
      </c>
      <c r="BI70" s="187" t="s">
        <v>9</v>
      </c>
      <c r="BJ70" s="191"/>
      <c r="BK70" s="30" t="e">
        <f>BH70+1</f>
        <v>#REF!</v>
      </c>
      <c r="BL70" s="187" t="s">
        <v>9</v>
      </c>
      <c r="BM70" s="191"/>
      <c r="BN70" s="30" t="e">
        <f>BK70+1</f>
        <v>#REF!</v>
      </c>
      <c r="BO70" s="187" t="s">
        <v>9</v>
      </c>
      <c r="BP70" s="191"/>
      <c r="BQ70" s="30" t="e">
        <f>BN70+1</f>
        <v>#REF!</v>
      </c>
      <c r="BR70" s="187" t="s">
        <v>9</v>
      </c>
      <c r="BS70" s="191"/>
      <c r="BT70" s="30" t="e">
        <f>BQ70+1</f>
        <v>#REF!</v>
      </c>
      <c r="BU70" s="187" t="s">
        <v>9</v>
      </c>
      <c r="BV70" s="191"/>
      <c r="BW70" s="30" t="e">
        <f>BT70+1</f>
        <v>#REF!</v>
      </c>
      <c r="BX70" s="187" t="s">
        <v>9</v>
      </c>
      <c r="BY70" s="191"/>
      <c r="BZ70" s="30" t="e">
        <f>BW70+1</f>
        <v>#REF!</v>
      </c>
      <c r="CA70" s="187" t="s">
        <v>9</v>
      </c>
      <c r="CB70" s="191"/>
      <c r="CC70" s="30" t="e">
        <f>BZ70+1</f>
        <v>#REF!</v>
      </c>
      <c r="CD70" s="30"/>
      <c r="CE70" s="31"/>
    </row>
    <row r="71" spans="1:83" hidden="1" x14ac:dyDescent="0.4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4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4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4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3</v>
      </c>
      <c r="W74" s="39">
        <f>SUBTOTAL(109,W$4:W$68)</f>
        <v>425</v>
      </c>
      <c r="X74" s="39"/>
      <c r="Y74" s="39">
        <f>SUBTOTAL(109,Y$4:Y$69)</f>
        <v>1</v>
      </c>
      <c r="Z74" s="39">
        <f>SUBTOTAL(109,Z$4:Z$68)</f>
        <v>424</v>
      </c>
      <c r="AA74" s="39"/>
      <c r="AB74" s="39">
        <f>SUBTOTAL(109,AB$4:AB$69)</f>
        <v>4</v>
      </c>
      <c r="AC74" s="39">
        <f>SUBTOTAL(109,AC$4:AC$68)</f>
        <v>420</v>
      </c>
      <c r="AD74" s="39"/>
      <c r="AE74" s="39">
        <f>SUBTOTAL(109,AE$4:AE$69)</f>
        <v>0</v>
      </c>
      <c r="AF74" s="39">
        <f>SUBTOTAL(109,AF$4:AF$68)</f>
        <v>420</v>
      </c>
      <c r="AG74" s="39"/>
      <c r="AH74" s="39">
        <f>SUBTOTAL(109,AH$4:AH$69)</f>
        <v>12</v>
      </c>
      <c r="AI74" s="39">
        <f>SUBTOTAL(109,AI$4:AI$68)</f>
        <v>393</v>
      </c>
      <c r="AJ74" s="39"/>
      <c r="AK74" s="39">
        <f>SUBTOTAL(109,AK$4:AK$69)</f>
        <v>0</v>
      </c>
      <c r="AL74" s="39">
        <f>SUBTOTAL(109,AL$4:AL$68)</f>
        <v>393</v>
      </c>
      <c r="AM74" s="39"/>
      <c r="AN74" s="39">
        <f>SUBTOTAL(109,AN$4:AN$69)</f>
        <v>0</v>
      </c>
      <c r="AO74" s="39">
        <f>SUBTOTAL(109,AO$4:AO$68)</f>
        <v>393</v>
      </c>
      <c r="AP74" s="39"/>
      <c r="AQ74" s="39">
        <f>SUBTOTAL(109,AQ$4:AQ$69)</f>
        <v>0</v>
      </c>
      <c r="AR74" s="39">
        <f>SUBTOTAL(109,AR$4:AR$68)</f>
        <v>393</v>
      </c>
      <c r="AS74" s="39"/>
      <c r="AT74" s="39">
        <f>SUBTOTAL(109,AT$4:AT$69)</f>
        <v>0</v>
      </c>
      <c r="AU74" s="39">
        <f>SUBTOTAL(109,AU$4:AU$68)</f>
        <v>393</v>
      </c>
      <c r="AV74" s="39"/>
      <c r="AW74" s="39">
        <f>SUBTOTAL(109,AW$4:AW$69)</f>
        <v>0</v>
      </c>
      <c r="AX74" s="39">
        <f>SUBTOTAL(109,AX$4:AX$68)</f>
        <v>393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4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4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4">
      <c r="A77" s="41"/>
      <c r="B77" s="41"/>
      <c r="C77" s="41"/>
      <c r="D77" s="41"/>
      <c r="E77" s="41"/>
      <c r="F77" s="41"/>
      <c r="G77" s="41"/>
    </row>
    <row r="78" spans="1:83" x14ac:dyDescent="0.4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1173480</xdr:colOff>
                <xdr:row>1</xdr:row>
                <xdr:rowOff>11430</xdr:rowOff>
              </from>
              <to>
                <xdr:col>4</xdr:col>
                <xdr:colOff>2411730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11430</xdr:rowOff>
              </from>
              <to>
                <xdr:col>4</xdr:col>
                <xdr:colOff>1097280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44" sqref="F44"/>
    </sheetView>
  </sheetViews>
  <sheetFormatPr defaultColWidth="9.1640625" defaultRowHeight="12.3" x14ac:dyDescent="0.4"/>
  <cols>
    <col min="1" max="1" width="9.1640625" style="6"/>
    <col min="2" max="2" width="9.44140625" style="6" customWidth="1"/>
    <col min="3" max="4" width="9.1640625" style="6"/>
    <col min="5" max="28" width="9.27734375" style="6" bestFit="1" customWidth="1"/>
    <col min="29" max="29" width="9.71875" style="6" customWidth="1"/>
    <col min="30" max="34" width="9.27734375" style="6" bestFit="1" customWidth="1"/>
    <col min="35" max="16384" width="9.1640625" style="6"/>
  </cols>
  <sheetData>
    <row r="1" spans="1:1" x14ac:dyDescent="0.4">
      <c r="A1" s="149"/>
    </row>
    <row r="19" spans="1:18" x14ac:dyDescent="0.4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4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4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4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425</v>
      </c>
      <c r="J22" s="162">
        <f t="shared" ca="1" si="1"/>
        <v>424</v>
      </c>
      <c r="K22" s="162">
        <f t="shared" ca="1" si="1"/>
        <v>420</v>
      </c>
      <c r="L22" s="162">
        <f t="shared" ca="1" si="1"/>
        <v>420</v>
      </c>
      <c r="M22" s="162">
        <f t="shared" ca="1" si="1"/>
        <v>393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4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4</v>
      </c>
      <c r="L23" s="163">
        <f t="shared" ca="1" si="2"/>
        <v>0</v>
      </c>
      <c r="M23" s="163">
        <f t="shared" ca="1" si="2"/>
        <v>12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4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7.5</v>
      </c>
      <c r="J24" s="163">
        <f ca="1">IF(J20&gt;TODAY(), #N/A, SUM($E23:J23))</f>
        <v>8.5</v>
      </c>
      <c r="K24" s="163">
        <f ca="1">IF(K20&gt;TODAY(), #N/A, SUM($E23:K23))</f>
        <v>12.5</v>
      </c>
      <c r="L24" s="163">
        <f ca="1">IF(L20&gt;TODAY(), #N/A, SUM($E23:L23))</f>
        <v>12.5</v>
      </c>
      <c r="M24" s="163">
        <f ca="1">IF(M20&gt;TODAY(), #N/A, SUM($E23:M23))</f>
        <v>24.5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4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>
        <f t="shared" ca="1" si="3"/>
        <v>432.5</v>
      </c>
      <c r="K25" s="163">
        <f t="shared" ca="1" si="3"/>
        <v>432.5</v>
      </c>
      <c r="L25" s="163">
        <f t="shared" ca="1" si="3"/>
        <v>432.5</v>
      </c>
      <c r="M25" s="163">
        <f t="shared" ca="1" si="3"/>
        <v>417.5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4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4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1.5</v>
      </c>
      <c r="J27" s="168">
        <f t="shared" ca="1" si="4"/>
        <v>1.4166666666666667</v>
      </c>
      <c r="K27" s="168">
        <f t="shared" ca="1" si="4"/>
        <v>1.7857142857142858</v>
      </c>
      <c r="L27" s="168">
        <f t="shared" ca="1" si="4"/>
        <v>1.5625</v>
      </c>
      <c r="M27" s="168">
        <f t="shared" ca="1" si="4"/>
        <v>2.7222222222222223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4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42772.333333333336</v>
      </c>
      <c r="J28" s="169">
        <f t="shared" ca="1" si="5"/>
        <v>42789.294117647056</v>
      </c>
      <c r="K28" s="169">
        <f t="shared" ca="1" si="5"/>
        <v>42726.2</v>
      </c>
      <c r="L28" s="169">
        <f t="shared" ca="1" si="5"/>
        <v>42760.800000000003</v>
      </c>
      <c r="M28" s="169">
        <f t="shared" ca="1" si="5"/>
        <v>42637.367346938772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4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42877.181818181816</v>
      </c>
      <c r="J29" s="169">
        <f t="shared" ca="1" si="6"/>
        <v>42789.294117647056</v>
      </c>
      <c r="K29" s="169">
        <f t="shared" ca="1" si="6"/>
        <v>42726.2</v>
      </c>
      <c r="L29" s="169">
        <f t="shared" ca="1" si="6"/>
        <v>42760.800000000003</v>
      </c>
      <c r="M29" s="169">
        <f t="shared" ca="1" si="6"/>
        <v>42784.6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4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4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424</v>
      </c>
      <c r="J31" s="165">
        <f t="shared" ca="1" si="7"/>
        <v>424</v>
      </c>
      <c r="K31" s="165">
        <f t="shared" ca="1" si="7"/>
        <v>420</v>
      </c>
      <c r="L31" s="165">
        <f t="shared" ca="1" si="7"/>
        <v>420</v>
      </c>
      <c r="M31" s="165">
        <f t="shared" ca="1" si="7"/>
        <v>388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4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17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5.5</v>
      </c>
      <c r="J33" s="165">
        <f t="shared" ca="1" si="9"/>
        <v>8.5</v>
      </c>
      <c r="K33" s="165">
        <f t="shared" ca="1" si="9"/>
        <v>12.5</v>
      </c>
      <c r="L33" s="165">
        <f t="shared" ca="1" si="9"/>
        <v>12.5</v>
      </c>
      <c r="M33" s="165">
        <f t="shared" ca="1" si="9"/>
        <v>12.5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60</v>
      </c>
      <c r="J35" s="165">
        <f t="shared" ca="1" si="10"/>
        <v>60</v>
      </c>
      <c r="K35" s="165">
        <f t="shared" ca="1" si="10"/>
        <v>57</v>
      </c>
      <c r="L35" s="165">
        <f t="shared" ca="1" si="10"/>
        <v>57</v>
      </c>
      <c r="M35" s="165">
        <f t="shared" ca="1" si="10"/>
        <v>54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3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4</v>
      </c>
      <c r="J37" s="165">
        <f t="shared" ca="1" si="12"/>
        <v>5</v>
      </c>
      <c r="K37" s="165">
        <f t="shared" ca="1" si="12"/>
        <v>8</v>
      </c>
      <c r="L37" s="165">
        <f t="shared" ca="1" si="12"/>
        <v>8</v>
      </c>
      <c r="M37" s="165">
        <f t="shared" ca="1" si="12"/>
        <v>8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4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4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ht="12.9" x14ac:dyDescent="0.5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ht="12.9" x14ac:dyDescent="0.5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ht="12.9" x14ac:dyDescent="0.5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ht="12.9" x14ac:dyDescent="0.5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4">
      <c r="A48" s="150"/>
      <c r="C48" s="150"/>
      <c r="D48" s="150"/>
    </row>
    <row r="49" spans="1:1" x14ac:dyDescent="0.4">
      <c r="A49" s="151"/>
    </row>
    <row r="50" spans="1:1" x14ac:dyDescent="0.4">
      <c r="A50" s="150"/>
    </row>
    <row r="51" spans="1:1" x14ac:dyDescent="0.4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ColWidth="9.1640625" defaultRowHeight="12.3" x14ac:dyDescent="0.4"/>
  <cols>
    <col min="1" max="1" width="2.27734375" style="43" customWidth="1"/>
    <col min="2" max="2" width="23.44140625" style="44" customWidth="1"/>
    <col min="3" max="4" width="6.5546875" style="44" bestFit="1" customWidth="1"/>
    <col min="5" max="5" width="24.5546875" style="43" customWidth="1"/>
    <col min="6" max="6" width="13.71875" style="43" customWidth="1"/>
    <col min="7" max="7" width="12.71875" style="43" bestFit="1" customWidth="1"/>
    <col min="8" max="8" width="1.83203125" style="43" customWidth="1"/>
    <col min="9" max="9" width="6.83203125" style="43" bestFit="1" customWidth="1"/>
    <col min="10" max="10" width="3.1640625" style="43" customWidth="1"/>
    <col min="11" max="15" width="3.71875" style="43" customWidth="1"/>
    <col min="16" max="16" width="6.83203125" style="43" bestFit="1" customWidth="1"/>
    <col min="17" max="22" width="3.71875" style="43" customWidth="1"/>
    <col min="23" max="23" width="4" style="43" customWidth="1"/>
    <col min="24" max="28" width="3" style="43" customWidth="1"/>
    <col min="29" max="38" width="9.1640625" style="43"/>
    <col min="39" max="16384" width="9.1640625" style="6"/>
  </cols>
  <sheetData>
    <row r="1" spans="2:28" ht="12.6" thickBot="1" x14ac:dyDescent="0.45"/>
    <row r="2" spans="2:28" x14ac:dyDescent="0.4">
      <c r="B2" s="45" t="s">
        <v>44</v>
      </c>
      <c r="C2" s="46"/>
      <c r="D2" s="47" t="str">
        <f ca="1">TEXT(E2,"ddd")</f>
        <v>Tue</v>
      </c>
      <c r="E2" s="48">
        <f ca="1">TODAY()</f>
        <v>42493</v>
      </c>
    </row>
    <row r="3" spans="2:28" ht="12.6" thickBot="1" x14ac:dyDescent="0.4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2.6" thickBot="1" x14ac:dyDescent="0.4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" thickBot="1" x14ac:dyDescent="0.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2.6" thickBot="1" x14ac:dyDescent="0.4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8"/>
      <c r="X6" s="199"/>
      <c r="Y6" s="199"/>
      <c r="Z6" s="199"/>
      <c r="AA6" s="199"/>
      <c r="AB6" s="200"/>
    </row>
    <row r="7" spans="2:28" ht="29.25" customHeight="1" thickBot="1" x14ac:dyDescent="0.4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2.6" thickBot="1" x14ac:dyDescent="0.45">
      <c r="B8" s="78" t="s">
        <v>37</v>
      </c>
      <c r="C8" s="79">
        <f>SUM(G8:G25)</f>
        <v>379</v>
      </c>
      <c r="D8" s="80"/>
      <c r="E8" s="81" t="s">
        <v>117</v>
      </c>
      <c r="F8" s="82">
        <v>0.2</v>
      </c>
      <c r="G8" s="83">
        <f>SUMIF(Sprint!$F$4:$F$1861,E8,Sprint!$AX$4:$AX$1861)</f>
        <v>87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6.4</v>
      </c>
      <c r="X8" s="193"/>
      <c r="Y8" s="193"/>
      <c r="Z8" s="193"/>
      <c r="AA8" s="193"/>
      <c r="AB8" s="194"/>
    </row>
    <row r="9" spans="2:28" ht="12.6" thickBot="1" x14ac:dyDescent="0.45">
      <c r="B9" s="87" t="s">
        <v>38</v>
      </c>
      <c r="C9" s="79">
        <f ca="1">SUM(W8:AB25)</f>
        <v>25.6</v>
      </c>
      <c r="D9" s="88"/>
      <c r="E9" s="18" t="s">
        <v>118</v>
      </c>
      <c r="F9" s="89">
        <v>0.2</v>
      </c>
      <c r="G9" s="83">
        <f>SUMIF(Sprint!$F$4:$F$1861,E9,Sprint!$AX$4:$AX$1861)</f>
        <v>33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6.4</v>
      </c>
      <c r="X9" s="193"/>
      <c r="Y9" s="193"/>
      <c r="Z9" s="193"/>
      <c r="AA9" s="193"/>
      <c r="AB9" s="194"/>
    </row>
    <row r="10" spans="2:28" ht="12.6" thickBot="1" x14ac:dyDescent="0.45">
      <c r="B10" s="94" t="s">
        <v>39</v>
      </c>
      <c r="C10" s="95">
        <f ca="1">C8-C9</f>
        <v>353.4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6.4</v>
      </c>
      <c r="X10" s="193"/>
      <c r="Y10" s="193"/>
      <c r="Z10" s="193"/>
      <c r="AA10" s="193"/>
      <c r="AB10" s="194"/>
    </row>
    <row r="11" spans="2:28" ht="12.6" thickBot="1" x14ac:dyDescent="0.45">
      <c r="B11" s="96"/>
      <c r="D11" s="97"/>
      <c r="E11" s="18" t="s">
        <v>120</v>
      </c>
      <c r="F11" s="89">
        <v>0.2</v>
      </c>
      <c r="G11" s="83">
        <f>SUMIF(Sprint!$F$4:$F$1861,E11,Sprint!$AX$4:$AX$1861)</f>
        <v>113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6.4</v>
      </c>
      <c r="X11" s="193"/>
      <c r="Y11" s="193"/>
      <c r="Z11" s="193"/>
      <c r="AA11" s="193"/>
      <c r="AB11" s="194"/>
    </row>
    <row r="12" spans="2:28" ht="12.6" thickBot="1" x14ac:dyDescent="0.4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2.6" thickBot="1" x14ac:dyDescent="0.4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2.6" thickBot="1" x14ac:dyDescent="0.4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2.6" thickBot="1" x14ac:dyDescent="0.4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2.6" thickBot="1" x14ac:dyDescent="0.4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2.6" thickBot="1" x14ac:dyDescent="0.4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2.6" thickBot="1" x14ac:dyDescent="0.4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2.6" thickBot="1" x14ac:dyDescent="0.4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2.6" thickBot="1" x14ac:dyDescent="0.4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2.6" thickBot="1" x14ac:dyDescent="0.4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2.6" thickBot="1" x14ac:dyDescent="0.4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2.6" thickBot="1" x14ac:dyDescent="0.4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2.6" thickBot="1" x14ac:dyDescent="0.4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2.6" thickBot="1" x14ac:dyDescent="0.4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4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2.6" thickBot="1" x14ac:dyDescent="0.4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4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4">
      <c r="C30" s="123"/>
      <c r="D30" s="123"/>
    </row>
    <row r="31" spans="2:28" x14ac:dyDescent="0.4">
      <c r="B31" s="98"/>
      <c r="C31" s="123"/>
      <c r="D31" s="123"/>
      <c r="E31" s="124"/>
      <c r="J31" s="6"/>
    </row>
    <row r="32" spans="2:28" x14ac:dyDescent="0.4">
      <c r="C32" s="123"/>
      <c r="D32" s="123"/>
      <c r="E32" s="124"/>
      <c r="F32" s="53"/>
    </row>
    <row r="37" spans="2:22" x14ac:dyDescent="0.4">
      <c r="I37" s="125"/>
    </row>
    <row r="38" spans="2:22" x14ac:dyDescent="0.4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4">
      <c r="E40" s="6"/>
    </row>
    <row r="45" spans="2:22" x14ac:dyDescent="0.4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ColWidth="9.1640625" defaultRowHeight="12.3" x14ac:dyDescent="0.4"/>
  <cols>
    <col min="1" max="1" width="2.71875" style="43" customWidth="1"/>
    <col min="2" max="2" width="18.44140625" style="43" bestFit="1" customWidth="1"/>
    <col min="3" max="4" width="14.1640625" style="43" bestFit="1" customWidth="1"/>
    <col min="5" max="6" width="15.1640625" style="43" bestFit="1" customWidth="1"/>
    <col min="7" max="7" width="13.71875" style="43" customWidth="1"/>
    <col min="8" max="8" width="28.71875" style="43" customWidth="1"/>
    <col min="9" max="9" width="2.83203125" style="43" bestFit="1" customWidth="1"/>
    <col min="10" max="16384" width="9.1640625" style="43"/>
  </cols>
  <sheetData>
    <row r="4" spans="2:8" x14ac:dyDescent="0.4">
      <c r="B4" s="129" t="s">
        <v>57</v>
      </c>
    </row>
    <row r="5" spans="2:8" ht="12.6" thickBot="1" x14ac:dyDescent="0.45"/>
    <row r="6" spans="2:8" ht="12.9" thickTop="1" thickBot="1" x14ac:dyDescent="0.4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2.6" thickTop="1" x14ac:dyDescent="0.4">
      <c r="C7" s="135"/>
      <c r="D7" s="136" t="s">
        <v>49</v>
      </c>
      <c r="E7" s="137"/>
      <c r="F7" s="138"/>
      <c r="G7" s="138"/>
      <c r="H7" s="139"/>
    </row>
    <row r="8" spans="2:8" x14ac:dyDescent="0.4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4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4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4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4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4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4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4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4">
      <c r="C16" s="140"/>
      <c r="D16" s="141"/>
      <c r="E16" s="141"/>
      <c r="F16" s="142"/>
      <c r="G16" s="141"/>
      <c r="H16" s="141"/>
    </row>
    <row r="17" spans="3:8" x14ac:dyDescent="0.4">
      <c r="C17" s="140"/>
      <c r="D17" s="141"/>
      <c r="E17" s="141"/>
      <c r="F17" s="142"/>
      <c r="G17" s="141"/>
      <c r="H17" s="141"/>
    </row>
    <row r="18" spans="3:8" x14ac:dyDescent="0.4">
      <c r="C18" s="140"/>
      <c r="D18" s="141"/>
      <c r="E18" s="141"/>
      <c r="F18" s="142"/>
      <c r="G18" s="141"/>
      <c r="H18" s="141"/>
    </row>
    <row r="19" spans="3:8" x14ac:dyDescent="0.4">
      <c r="C19" s="140"/>
      <c r="D19" s="141"/>
      <c r="E19" s="141"/>
      <c r="F19" s="142"/>
      <c r="G19" s="141"/>
      <c r="H19" s="141"/>
    </row>
    <row r="20" spans="3:8" x14ac:dyDescent="0.4">
      <c r="C20" s="140"/>
      <c r="D20" s="141"/>
      <c r="E20" s="141"/>
      <c r="F20" s="142"/>
      <c r="G20" s="141"/>
      <c r="H20" s="141"/>
    </row>
    <row r="21" spans="3:8" x14ac:dyDescent="0.4">
      <c r="C21" s="140"/>
      <c r="D21" s="141"/>
      <c r="E21" s="141"/>
      <c r="F21" s="142"/>
      <c r="G21" s="141"/>
      <c r="H21" s="141"/>
    </row>
    <row r="22" spans="3:8" x14ac:dyDescent="0.4">
      <c r="C22" s="140"/>
      <c r="D22" s="141"/>
      <c r="E22" s="141"/>
      <c r="F22" s="142"/>
      <c r="G22" s="141"/>
      <c r="H22" s="141"/>
    </row>
    <row r="23" spans="3:8" x14ac:dyDescent="0.4">
      <c r="C23" s="140"/>
      <c r="D23" s="141"/>
      <c r="E23" s="141"/>
      <c r="F23" s="142"/>
      <c r="G23" s="141"/>
      <c r="H23" s="141"/>
    </row>
    <row r="24" spans="3:8" x14ac:dyDescent="0.4">
      <c r="C24" s="140"/>
      <c r="D24" s="141"/>
      <c r="E24" s="141"/>
      <c r="F24" s="142"/>
      <c r="G24" s="141"/>
      <c r="H24" s="141"/>
    </row>
    <row r="25" spans="3:8" ht="12.6" thickBot="1" x14ac:dyDescent="0.45">
      <c r="C25" s="143"/>
      <c r="D25" s="144"/>
      <c r="E25" s="144"/>
      <c r="F25" s="145"/>
      <c r="G25" s="146"/>
      <c r="H25" s="147"/>
    </row>
    <row r="26" spans="3:8" ht="12.6" thickTop="1" x14ac:dyDescent="0.4"/>
    <row r="41" spans="7:9" x14ac:dyDescent="0.4">
      <c r="G41" s="129"/>
      <c r="I41" s="148"/>
    </row>
    <row r="43" spans="7:9" x14ac:dyDescent="0.4">
      <c r="G43" s="129"/>
      <c r="H43" s="148"/>
      <c r="I43" s="148"/>
    </row>
    <row r="51" spans="4:4" x14ac:dyDescent="0.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3" x14ac:dyDescent="0.4"/>
  <cols>
    <col min="1" max="1" width="21.5546875" bestFit="1" customWidth="1"/>
    <col min="2" max="2" width="6.71875" bestFit="1" customWidth="1"/>
    <col min="3" max="3" width="7.27734375" bestFit="1" customWidth="1"/>
  </cols>
  <sheetData>
    <row r="1" spans="1:3" ht="14.4" x14ac:dyDescent="0.55000000000000004">
      <c r="A1" s="172" t="s">
        <v>104</v>
      </c>
      <c r="B1" s="173"/>
    </row>
    <row r="2" spans="1:3" ht="14.4" x14ac:dyDescent="0.55000000000000004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4.4" x14ac:dyDescent="0.55000000000000004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4.4" x14ac:dyDescent="0.55000000000000004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4.4" x14ac:dyDescent="0.55000000000000004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4.4" x14ac:dyDescent="0.55000000000000004">
      <c r="A6" s="176" t="s">
        <v>110</v>
      </c>
      <c r="B6" s="182">
        <f>SUM(B2:B5)</f>
        <v>0</v>
      </c>
      <c r="C6" s="183" t="e">
        <f>SUM(C2:C5)</f>
        <v>#DIV/0!</v>
      </c>
    </row>
    <row r="7" spans="1:3" ht="14.4" x14ac:dyDescent="0.55000000000000004">
      <c r="A7" s="175"/>
      <c r="B7" s="175"/>
    </row>
    <row r="8" spans="1:3" ht="14.4" x14ac:dyDescent="0.55000000000000004">
      <c r="A8" s="176" t="s">
        <v>105</v>
      </c>
      <c r="B8" s="175"/>
    </row>
    <row r="9" spans="1:3" ht="14.4" x14ac:dyDescent="0.55000000000000004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4.4" x14ac:dyDescent="0.55000000000000004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4.4" x14ac:dyDescent="0.55000000000000004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4.4" x14ac:dyDescent="0.55000000000000004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4.4" x14ac:dyDescent="0.55000000000000004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4.4" x14ac:dyDescent="0.55000000000000004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4.4" x14ac:dyDescent="0.55000000000000004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4.4" x14ac:dyDescent="0.55000000000000004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4.4" x14ac:dyDescent="0.55000000000000004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4.4" x14ac:dyDescent="0.55000000000000004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4.4" x14ac:dyDescent="0.55000000000000004">
      <c r="A19" s="174"/>
      <c r="B19" s="175">
        <f>COUNTIF(Sprint!$B$4:$B$216, "Reports")</f>
        <v>0</v>
      </c>
      <c r="C19" s="181" t="e">
        <f t="shared" si="1"/>
        <v>#DIV/0!</v>
      </c>
    </row>
    <row r="20" spans="1:3" ht="14.4" x14ac:dyDescent="0.55000000000000004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4.4" x14ac:dyDescent="0.55000000000000004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4.4" x14ac:dyDescent="0.55000000000000004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4.4" x14ac:dyDescent="0.55000000000000004">
      <c r="A23" s="174"/>
      <c r="B23" s="175">
        <f>COUNTIF(Sprint!$B$4:$B$216, "Testing")</f>
        <v>0</v>
      </c>
      <c r="C23" s="181" t="e">
        <f t="shared" si="1"/>
        <v>#DIV/0!</v>
      </c>
    </row>
    <row r="24" spans="1:3" ht="14.4" x14ac:dyDescent="0.55000000000000004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4.4" x14ac:dyDescent="0.55000000000000004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4.4" x14ac:dyDescent="0.55000000000000004">
      <c r="A27" s="179" t="s">
        <v>109</v>
      </c>
    </row>
    <row r="28" spans="1:3" ht="14.4" x14ac:dyDescent="0.55000000000000004">
      <c r="A28" s="174" t="s">
        <v>111</v>
      </c>
      <c r="B28" s="175">
        <f ca="1">COUNTIF(Sprint!$G$4:$G$99, "Complete")</f>
        <v>8</v>
      </c>
      <c r="C28" s="181">
        <f ca="1">B28/$B$33</f>
        <v>0.12307692307692308</v>
      </c>
    </row>
    <row r="29" spans="1:3" ht="14.4" x14ac:dyDescent="0.55000000000000004">
      <c r="A29" s="174" t="s">
        <v>112</v>
      </c>
      <c r="B29" s="175">
        <f ca="1">COUNTIF(Sprint!$G$4:$G$99, "In Progress")</f>
        <v>3</v>
      </c>
      <c r="C29" s="181">
        <f t="shared" ref="C29:C32" ca="1" si="2">B29/$B$33</f>
        <v>4.6153846153846156E-2</v>
      </c>
    </row>
    <row r="30" spans="1:3" ht="14.4" x14ac:dyDescent="0.55000000000000004">
      <c r="A30" s="174" t="s">
        <v>113</v>
      </c>
      <c r="B30" s="175">
        <f ca="1">COUNTIF(Sprint!$G$4:$G$99, "Pending")</f>
        <v>54</v>
      </c>
      <c r="C30" s="181">
        <f t="shared" ca="1" si="2"/>
        <v>0.83076923076923082</v>
      </c>
    </row>
    <row r="31" spans="1:3" ht="14.4" x14ac:dyDescent="0.55000000000000004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4.4" x14ac:dyDescent="0.55000000000000004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4.4" x14ac:dyDescent="0.55000000000000004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Water Leung</cp:lastModifiedBy>
  <cp:revision>1</cp:revision>
  <cp:lastPrinted>2005-08-15T09:18:22Z</cp:lastPrinted>
  <dcterms:created xsi:type="dcterms:W3CDTF">2005-01-26T21:50:47Z</dcterms:created>
  <dcterms:modified xsi:type="dcterms:W3CDTF">2016-05-03T13:53:14Z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